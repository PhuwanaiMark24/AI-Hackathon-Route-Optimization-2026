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ภาพรวม" sheetId="1" state="visible" r:id="rId3"/>
    <sheet name="1 บริบท" sheetId="2" state="visible" r:id="rId4"/>
    <sheet name="2 ข้อมูล" sheetId="3" state="visible" r:id="rId5"/>
    <sheet name="3 ข้อจำกัด" sheetId="4" state="visible" r:id="rId6"/>
    <sheet name="4 วิธีการ" sheetId="5" state="visible" r:id="rId7"/>
    <sheet name="5 เส้นทาง" sheetId="6" state="visible" r:id="rId8"/>
    <sheet name="6 ตรวจสอบ" sheetId="7" state="visible" r:id="rId9"/>
    <sheet name="7 เปรียบเทียบ" sheetId="8" state="visible" r:id="rId10"/>
    <sheet name="8 บทเรียน" sheetId="9" state="visible" r:id="rId11"/>
    <sheet name="9 Gree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<sst xmlns="http://schemas.openxmlformats.org/spreadsheetml/2006/main" count="230" uniqueCount="194">
  <si>
    <t xml:space="preserve">CPAC Ready-Mix Concrete Delivery — สรุป Case</t>
  </si>
  <si>
    <t xml:space="preserve">Mission 3 Self-created Case | AI Hackathon: Route Optimization 2026 | ฉบับแก้ไข v2</t>
  </si>
  <si>
    <t xml:space="preserve">พารามิเตอร์หลัก (Input)</t>
  </si>
  <si>
    <t xml:space="preserve">ผลลัพธ์หลัก (เชื่อมสูตรอัตโนมัติ)</t>
  </si>
  <si>
    <t xml:space="preserve">คลัง (Depot)</t>
  </si>
  <si>
    <t xml:space="preserve">โรงงานผสม CPAC (จุดที่ 1)</t>
  </si>
  <si>
    <t xml:space="preserve">จำนวนรถที่ใช้</t>
  </si>
  <si>
    <t xml:space="preserve">ไซต์ก่อสร้าง (แห่ง)</t>
  </si>
  <si>
    <t xml:space="preserve">ระยะทางรวม (กม.)</t>
  </si>
  <si>
    <t xml:space="preserve">ความจุรถต่อคัน (ลบ.ม.)</t>
  </si>
  <si>
    <t xml:space="preserve">ปริมาณที่ส่งรวม (ลบ.ม.)</t>
  </si>
  <si>
    <t xml:space="preserve">จำนวนรถที่มี (คัน)</t>
  </si>
  <si>
    <t xml:space="preserve">ผ่านเงื่อนไขความจุ</t>
  </si>
  <si>
    <t xml:space="preserve">ความเร็วเฉลี่ย (กม./ชม.)</t>
  </si>
  <si>
    <t xml:space="preserve">ผ่านเงื่อนไขความสด</t>
  </si>
  <si>
    <t xml:space="preserve">เวลาเทต่อไซต์ (นาที)</t>
  </si>
  <si>
    <t xml:space="preserve">Gap เทียบ exact optimum</t>
  </si>
  <si>
    <t xml:space="preserve">อายุคอนกรีตสูงสุด (นาที)</t>
  </si>
  <si>
    <t xml:space="preserve">ดีขึ้นกว่า Nearest Neighbor</t>
  </si>
  <si>
    <t xml:space="preserve">CO2 ต่อรอบจ่ายงาน (kg)</t>
  </si>
  <si>
    <t xml:space="preserve">สรุปสั้น (Insight)</t>
  </si>
  <si>
    <t xml:space="preserve">ถ้าคำนึงแค่ความจุ จะได้แผน 241 กม. / 7 คัน ที่ดูดีบนกระดาษแต่ใช้จริงไม่ได้ (มี 1 เส้นทางถึงไซต์นาทีที่ 94 คอนกรีตเสีย) การซ่อมด้วยการแยกคันอย่างเดียวได้ 270 กม. / 8 คัน ซึ่งผ่านกติกาแต่เปลือง เมื่อให้ local search รู้จักกติกาเวลาด้วย ได้ 247 กม. / 7 คัน เท่ากับ exact optimum — กติกาความสดจึงมีต้นทุนจริงแค่ +6 กม. และไม่ต้องเพิ่มรถ</t>
  </si>
  <si>
    <t xml:space="preserve">ลำดับการอ่าน Case นี้:</t>
  </si>
  <si>
    <t xml:space="preserve">1 บริบท  -&gt;  2 ข้อมูล  -&gt;  3 ข้อจำกัด  -&gt;  4 วิธีการ  -&gt;  5 เส้นทาง  -&gt;  6 ตรวจสอบ  -&gt;  7 เปรียบเทียบ  -&gt;  8 บทเรียน  -&gt;  9 Green</t>
  </si>
  <si>
    <t xml:space="preserve">1. บริบท — โจทย์นี้สนใจอะไร</t>
  </si>
  <si>
    <t xml:space="preserve">ทำไมโจทย์นี้ถึงเกิดขึ้น และทำไมต้องมีเงื่อนไขใหม่นอกเหนือจาก 3 benchmark ทางการ</t>
  </si>
  <si>
    <t xml:space="preserve">อุตสาหกรรม</t>
  </si>
  <si>
    <t xml:space="preserve">SCG-CPAC — ผู้ผลิตและจำหน่ายคอนกรีตผสมเสร็จ (Ready-mix Concrete)</t>
  </si>
  <si>
    <t xml:space="preserve">ปัญหา</t>
  </si>
  <si>
    <t xml:space="preserve">คอนกรีตเริ่มก่อตัว (แข็งตัว) ทันทีหลังผสมเสร็จที่โรงงาน หากรถใช้เวลาเดินทางไปถึงไซต์นานเกินไป คอนกรีตจะแข็งตัวบางส่วนจนใช้เทไม่ได้ ต้องทิ้งทั้งคัน สร้างความเสียหายทั้งด้านต้นทุนวัสดุและ ความล่าช้าของหน้างานก่อสร้าง</t>
  </si>
  <si>
    <t xml:space="preserve">คำถามของโจทย์</t>
  </si>
  <si>
    <t xml:space="preserve">ในหนึ่งรอบการจ่ายงาน โรงงาน CPAC ต้องส่งคอนกรีตไปยังไซต์ก่อสร้าง 15 แห่งพร้อมกัน จะจัดเส้นทาง ให้รถโม่งอย่างไร ให้ส่งครบทุกไซต์ ไม่เกินความจุรถแต่ละคัน และถึงไซต์ทุกแห่งก่อนคอนกรีตหมดอายุ โดยใช้ระยะทางรวมน้อยที่สุด (ประหยัดเชื้อเพลิง ลด CO2)</t>
  </si>
  <si>
    <t xml:space="preserve">ทำไมต้องเป็น Case นี้ ไม่ใช่แค่ 3 benchmark ทางการ</t>
  </si>
  <si>
    <t xml:space="preserve">A-n32-k5 / B-n31-k5 / P-n40-k5 ทดสอบแค่เงื่อนไขเดียวคือความจุรถ Case นี้เพิ่มมิติที่ 3 benchmark เดิมไม่มี คือ ข้อจำกัดด้านเวลา (freshness window) เพื่อแสดงว่าทีมเข้าใจการประยุกต์ใช้ CVRP กับโลกจริง ไม่ใช่แค่โจทย์ CVRP มาตรฐาน</t>
  </si>
  <si>
    <t xml:space="preserve">เชื่อมโยงกับธีม Green Logistics</t>
  </si>
  <si>
    <t xml:space="preserve">เส้นทางสั้นลง = ใช้เชื้อเพลิงน้อยลง = CO2 ลดลง แผนสุดท้ายปล่อยประมาณ 232 kg CO2 ต่อรอบ ลดได้ 46 kg ต่อรอบเทียบ Nearest Neighbor ขณะเดียวกันการกันไม่ให้คอนกรีตเสียช่วยเลี่ยงการผลิตซ้ำ ซึ่งปล่อย CO2 จากปูนซีเมนต์สูงกว่าการวิ่งรถเพิ่ม 6 กม. หลายเท่า (รายละเอียดในชีต 9)</t>
  </si>
  <si>
    <t xml:space="preserve">2. ข้อมูล — Dataset ของ Case นี้</t>
  </si>
  <si>
    <t xml:space="preserve">CPAC-n16-k8-fresh.txt (รูปแบบ VRPLIB): คลัง 1 จุด + ไซต์ก่อสร้าง 15 แห่ง</t>
  </si>
  <si>
    <t xml:space="preserve">จุดที่</t>
  </si>
  <si>
    <t xml:space="preserve">ประเภท</t>
  </si>
  <si>
    <t xml:space="preserve">X (กม.)</t>
  </si>
  <si>
    <t xml:space="preserve">Y (กม.)</t>
  </si>
  <si>
    <t xml:space="preserve">Demand (ลบ.ม.)</t>
  </si>
  <si>
    <t xml:space="preserve">ไซต์ก่อสร้าง</t>
  </si>
  <si>
    <t xml:space="preserve">รวม</t>
  </si>
  <si>
    <t xml:space="preserve">หมายเหตุ: พิกัดและ Demand เป็นข้อมูลจำลองเพื่อการเรียนรู้ (ตามที่สไลด์อนุญาต "ตัวอย่างบริบทจำลองเพื่อการเรียนรู้") ไม่ใช่ข้อมูลจริงของ SCG</t>
  </si>
  <si>
    <t xml:space="preserve">3. ข้อจำกัด — กติกาที่คำตอบต้องผ่าน</t>
  </si>
  <si>
    <t xml:space="preserve">5 กติกา CVRP มาตรฐาน (เหมือน Mission 2) + 1 กติกาใหม่ที่ Case นี้เพิ่มเข้ามา</t>
  </si>
  <si>
    <t xml:space="preserve">#</t>
  </si>
  <si>
    <t xml:space="preserve">ข้อจำกัด</t>
  </si>
  <si>
    <t xml:space="preserve">รายละเอียด</t>
  </si>
  <si>
    <t xml:space="preserve">ครบทุกจุด (Node Coverage)</t>
  </si>
  <si>
    <t xml:space="preserve">ทุกไซต์ก่อสร้างต้องได้รับคอนกรีตครบตามที่สั่ง — ไปเยี่ยมเพียงครั้งเดียว</t>
  </si>
  <si>
    <t xml:space="preserve">เริ่ม-จบที่คลัง (Depot Routing)</t>
  </si>
  <si>
    <t xml:space="preserve">ทุกเส้นทางของรถต้องเริ่มต้นและจบที่โรงงานผสม CPAC (คลัง)</t>
  </si>
  <si>
    <t xml:space="preserve">ความจุ (Capacity)</t>
  </si>
  <si>
    <t xml:space="preserve">น้ำหนัก/ปริมาณที่บรรทุกต่อคันต้องไม่เกิน 10 ลบ.ม.</t>
  </si>
  <si>
    <t xml:space="preserve">จำนวนรถ (Fleet Limit)</t>
  </si>
  <si>
    <t xml:space="preserve">ใช้รถได้ไม่เกิน 8 คัน (ตามจำนวนที่มีจริง)</t>
  </si>
  <si>
    <t xml:space="preserve">ระยะทางแบบ EUC_2D</t>
  </si>
  <si>
    <t xml:space="preserve">คำนวณระยะทางแบบเส้นตรง (Euclidean) แล้วปัดเป็นจำนวนเต็ม</t>
  </si>
  <si>
    <t xml:space="preserve">ความสด (ใหม่)</t>
  </si>
  <si>
    <t xml:space="preserve">ทุกไซต์ต้องได้รับคอนกรีตภายใน 90 นาทีหลังรถออกจากโรงงาน คำนวณจากระยะทางสะสม ÷ 30 กม./ชม. + เวลาเท 10 นาทีต่อไซต์ที่แวะก่อนหน้า (นิยามที่เข้มกว่านี้ทดสอบในชีต 9)</t>
  </si>
  <si>
    <t xml:space="preserve">4. วิธีการ — Solver ทำงานอย่างไร</t>
  </si>
  <si>
    <t xml:space="preserve">ใช้ Solver ของ Mission 2 ตัวเดิมไม่แก้ไข (vrp_solver.py) แล้วเสียบกติกา "ความสด" ผ่านฟังก์ชัน route_ok ใน vrp_solver_case3.py</t>
  </si>
  <si>
    <t xml:space="preserve">ขั้นตอน</t>
  </si>
  <si>
    <t xml:space="preserve">ชื่อขั้นตอน</t>
  </si>
  <si>
    <t xml:space="preserve">ทำอะไร</t>
  </si>
  <si>
    <t xml:space="preserve">อ่านไฟล์ (Parse)</t>
  </si>
  <si>
    <t xml:space="preserve">อ่าน NAME / CAPACITY / NODE_COORD_SECTION / DEMAND_SECTION / DEPOT_SECTION พร้อมฟิลด์เสริม FRESHNESS_LIMIT_MIN, SPEED_KMH, SERVICE_TIME_MIN (ถ้าไม่มีฟิลด์เหล่านี้ ทำงานเหมือน Mission 2)</t>
  </si>
  <si>
    <t xml:space="preserve">คำนวณระยะทาง</t>
  </si>
  <si>
    <t xml:space="preserve">ระยะ EUC_2D ระหว่างทุกคู่จุด ปัดเป็นกิโลเมตรจำนวนเต็ม</t>
  </si>
  <si>
    <t xml:space="preserve">สร้างเส้นทางเริ่มต้น (Mission 2)</t>
  </si>
  <si>
    <t xml:space="preserve">Clarke &amp; Wright Savings สร้างแผนเริ่มต้นที่ผ่านเงื่อนไขความจุ</t>
  </si>
  <si>
    <t xml:space="preserve">ขัดเกลาเส้นทาง (Mission 2)</t>
  </si>
  <si>
    <t xml:space="preserve">Relocate (ย้ายลูกค้า 1 จุด ถ้าเส้นทางว่างให้ยุบรถ), Swap (สลับลูกค้าข้ามคัน), 2-opt (ลบเส้นไขว้ในคัน) วนจนไม่ดีขึ้น → 241 กม. 7 คัน แต่สาย 1 เส้นทาง</t>
  </si>
  <si>
    <t xml:space="preserve">ซ่อมเรื่องความสด — v1</t>
  </si>
  <si>
    <t xml:space="preserve">ไล่เวลาสะสมของแต่ละเส้นทาง ถ้าจุดถัดไปจะถึงช้ากว่าขีดจำกัด ให้ตัดเส้นทางแล้วเริ่มรถคันใหม่ → 270 กม. 8 คัน</t>
  </si>
  <si>
    <t xml:space="preserve">Time-aware re-optimisation — v2 (ใหม่)</t>
  </si>
  <si>
    <t xml:space="preserve">รัน Relocate / Swap / 2-opt ชุดเดิมซ้ำ โดย route_ok = ความจุ + เวลา ทำให้รวมคันที่ไม่จำเป็นกลับได้ (เช่น จุด 11 กับ 13) → 247 กม. 7 คัน</t>
  </si>
  <si>
    <t xml:space="preserve">ตรวจสอบเงื่อนไข</t>
  </si>
  <si>
    <t xml:space="preserve">ตรวจครบทั้ง 6 ข้อ (5 ข้อเดิม + ความสด) กับแผนสุดท้าย</t>
  </si>
  <si>
    <t xml:space="preserve">วัดคุณภาพ</t>
  </si>
  <si>
    <t xml:space="preserve">เทียบกับ exact optimum (set partitioning, ทำได้เพราะมี 15 ไซต์) และ baseline Nearest Neighbor ที่ทำตามกติกาเดียวกัน → Gap 0.00%, ดีกว่า NN 16.6%</t>
  </si>
  <si>
    <t xml:space="preserve">สรุปผลลัพธ์ (Result Card)</t>
  </si>
  <si>
    <t xml:space="preserve">รายงานเส้นทางแต่ละคัน ปริมาณบรรทุก ระยะทาง เวลาถึงช้าสุด PASS/FAIL ทุกกติกา CO2 และ sensitivity (ดู result_cards_log.txt)</t>
  </si>
  <si>
    <t xml:space="preserve">5. เส้นทาง — ผลลัพธ์สุดท้าย (v2)</t>
  </si>
  <si>
    <t xml:space="preserve">ความจุ (ลบ.ม.):</t>
  </si>
  <si>
    <t xml:space="preserve">1 เส้นทางต่อ 1 คัน จาก vrp_solver_case3.py (ไม่มีคำตอบ hard-code) ตัวเลขตรงกับ result_cards_log.txt</t>
  </si>
  <si>
    <t xml:space="preserve">คันที่</t>
  </si>
  <si>
    <t xml:space="preserve">ลำดับเส้นทาง</t>
  </si>
  <si>
    <t xml:space="preserve">จุดแวะ</t>
  </si>
  <si>
    <t xml:space="preserve">บรรทุก (ลบ.ม.)</t>
  </si>
  <si>
    <t xml:space="preserve">% บรรทุก</t>
  </si>
  <si>
    <t xml:space="preserve">ระยะทาง (กม.)</t>
  </si>
  <si>
    <t xml:space="preserve">ถึงช้าสุด (นาที)</t>
  </si>
  <si>
    <t xml:space="preserve">คันที่ 1</t>
  </si>
  <si>
    <t xml:space="preserve">1 -&gt; 4 -&gt; 1</t>
  </si>
  <si>
    <t xml:space="preserve">คันที่ 2</t>
  </si>
  <si>
    <t xml:space="preserve">1 -&gt; 11 -&gt; 12 -&gt; 13 -&gt; 1</t>
  </si>
  <si>
    <t xml:space="preserve">คันที่ 3</t>
  </si>
  <si>
    <t xml:space="preserve">1 -&gt; 2 -&gt; 3 -&gt; 1</t>
  </si>
  <si>
    <t xml:space="preserve">คันที่ 4</t>
  </si>
  <si>
    <t xml:space="preserve">1 -&gt; 5 -&gt; 6 -&gt; 1</t>
  </si>
  <si>
    <t xml:space="preserve">คันที่ 5</t>
  </si>
  <si>
    <t xml:space="preserve">1 -&gt; 14 -&gt; 7 -&gt; 9 -&gt; 1</t>
  </si>
  <si>
    <t xml:space="preserve">คันที่ 6</t>
  </si>
  <si>
    <t xml:space="preserve">1 -&gt; 16 -&gt; 15 -&gt; 1</t>
  </si>
  <si>
    <t xml:space="preserve">คันที่ 7</t>
  </si>
  <si>
    <t xml:space="preserve">1 -&gt; 10 -&gt; 8 -&gt; 1</t>
  </si>
  <si>
    <t xml:space="preserve">หมายเหตุ: "ถึงช้าสุด" = เวลาที่รถไปถึงไซต์สุดท้ายของคันนั้น (นาทีหลังออกจากโรงงาน) คิดจากระยะทาง ÷ 30 กม./ชม. + 10 นาทีต่อไซต์ที่แวะก่อนหน้า · แถวรวมช่อง % บรรทุก = การใช้ความจุเฉลี่ยของรถที่ใช้</t>
  </si>
  <si>
    <t xml:space="preserve">6. ผลตรวจสอบ — Validator</t>
  </si>
  <si>
    <t xml:space="preserve">ตรวจทุกกติกาซ้ำ แยกจากขั้นตอนสร้างเส้นทาง (ช่อง "ผล" เป็นสูตร เปลี่ยนค่าในชีต 5 หรือภาพรวมแล้วผลจะอัปเดตเอง)</t>
  </si>
  <si>
    <t xml:space="preserve">ผล</t>
  </si>
  <si>
    <t xml:space="preserve">กติกา</t>
  </si>
  <si>
    <t xml:space="preserve">ผ่าน</t>
  </si>
  <si>
    <t xml:space="preserve">ไม่ซ้ำ (Visited-once)</t>
  </si>
  <si>
    <t xml:space="preserve">ไม่มีไซต์ใดถูกเยี่ยมซ้ำ (ตรวจโดย check_feasibility ใน solver)</t>
  </si>
  <si>
    <t xml:space="preserve">ทุกเส้นทางเริ่มต้นและจบที่โรงงาน (โหนด 1)</t>
  </si>
  <si>
    <t xml:space="preserve">ความสด (Freshness)</t>
  </si>
  <si>
    <t xml:space="preserve">สรุปรวม:</t>
  </si>
  <si>
    <t xml:space="preserve">7. เปรียบเทียบ — พิสูจน์ว่าคำตอบดี</t>
  </si>
  <si>
    <t xml:space="preserve">เคสนี้มี 15 ไซต์ จึงคำนวณ exact optimum ได้ (set partitioning) ใช้เป็นไม้บรรทัดวัด Gap แทนการอ้าง "ไม่มีค่า Optimal" · ทุกแผนรันได้ใน notebook</t>
  </si>
  <si>
    <t xml:space="preserve">A. ทุกแผนที่ทดลอง (ระยะทาง / รถ / ความเป็นไปได้ / CO2)</t>
  </si>
  <si>
    <t xml:space="preserve">แผน</t>
  </si>
  <si>
    <t xml:space="preserve">จำนวนรถ</t>
  </si>
  <si>
    <t xml:space="preserve">ใช้งานได้จริงไหม</t>
  </si>
  <si>
    <t xml:space="preserve">Gap เทียบ Optimal</t>
  </si>
  <si>
    <t xml:space="preserve">CO2 ต่อรอบ (kg)</t>
  </si>
  <si>
    <t xml:space="preserve">เฉพาะความจุ (Solver Mission 2 ตามเดิม)</t>
  </si>
  <si>
    <t xml:space="preserve">ไม่ได้ (1 เส้นทางถึงนาทีที่ 94 เกิน 90)</t>
  </si>
  <si>
    <t xml:space="preserve">+ ความสด: repair อย่างเดียว (v1)</t>
  </si>
  <si>
    <t xml:space="preserve">ได้ แต่ใช้รถเกินจำเป็น 1 คัน</t>
  </si>
  <si>
    <t xml:space="preserve">+ ความสด: time-aware re-opt (v2) — แผนสุดท้าย</t>
  </si>
  <si>
    <t xml:space="preserve">ได้ (ทุกไซต์ถึงภายใน 84 นาที)</t>
  </si>
  <si>
    <t xml:space="preserve">Exact optimum (อ้างอิง, รวมกติกาความสด)</t>
  </si>
  <si>
    <t xml:space="preserve">ได้</t>
  </si>
  <si>
    <t xml:space="preserve">Nearest Neighbor (baseline, เคารพกติกาเดียวกัน)</t>
  </si>
  <si>
    <t xml:space="preserve">B. ตัวชี้วัดคุณภาพของแผนสุดท้าย</t>
  </si>
  <si>
    <t xml:space="preserve">ตัวชี้วัด</t>
  </si>
  <si>
    <t xml:space="preserve">ค่า</t>
  </si>
  <si>
    <t xml:space="preserve">ความหมาย</t>
  </si>
  <si>
    <t xml:space="preserve">0% = เท่ากับคำตอบที่ดีที่สุดเท่าที่เป็นไปได้</t>
  </si>
  <si>
    <t xml:space="preserve">ระยะทางสั้นกว่า baseline ที่ทำตามกติกาเดียวกัน</t>
  </si>
  <si>
    <t xml:space="preserve">ต้นทุนของกติกาความสด (กม.)</t>
  </si>
  <si>
    <t xml:space="preserve">ระยะที่ต้องเพิ่มเพื่อให้คอนกรีตถึงทันเวลา</t>
  </si>
  <si>
    <t xml:space="preserve">ต้นทุนของกติกาความสด (คัน)</t>
  </si>
  <si>
    <t xml:space="preserve">ไม่ต้องเพิ่มรถเลย</t>
  </si>
  <si>
    <t xml:space="preserve">ลดลงจากแผน v1 (กม.)</t>
  </si>
  <si>
    <t xml:space="preserve">ผลของขั้น time-aware re-optimisation (รวมจุด 11 กับ 13)</t>
  </si>
  <si>
    <t xml:space="preserve">อ่านตาราง: แผน v1 ผ่านกติกาทุกข้อแต่แพงกว่า optimal 9.3% และใช้รถเกิน 1 คัน การวัด Gap กับ exact optimum ทำให้เห็นปัญหานี้ จึงเพิ่มขั้น time-aware re-optimisation ได้แผน v2 ที่เท่ากับ optimal · CO2 ใช้สมมติฐานในชีต 9</t>
  </si>
  <si>
    <t xml:space="preserve">8. บทเรียน — ทีมได้เรียนรู้อะไร</t>
  </si>
  <si>
    <t xml:space="preserve">ข้อสรุปสำคัญ พร้อมข้อจำกัดและแนวทางพัฒนาต่อ (จับคู่ทีละข้อ)</t>
  </si>
  <si>
    <t xml:space="preserve">ข้อสรุปสำคัญ</t>
  </si>
  <si>
    <t xml:space="preserve">1) ต้นทุนของกติกาความสดเล็กกว่าที่คิด: แผนที่ดูแค่ความจุได้ 241 กม. แต่ใช้จริงไม่ได้ แผนที่ดีที่สุดที่ผ่านกติกาเวลาคือ 247 กม. (+6 กม., +2.5%) และไม่ต้องเพิ่มรถ
2) Feasible ยังไม่พอ ต้องวัดคุณภาพด้วย: แผน v1 (270 กม. / 8 คัน) ผ่านทุกกติกาแต่แพงกว่า optimal 9.3% เมื่อให้ local search รู้จักกติกาเวลา (v2) ได้ 247 กม. / 7 คัน = optimal
3) Generalized Solver ใช้ได้จริง: กติกาใหม่เสียบผ่านฟังก์ชัน route_ok จุดเดียว ไม่ต้องแก้ solver ของ Mission 2 และผล Mission 2 ยังเหมือนเดิม</t>
  </si>
  <si>
    <t xml:space="preserve">แนวทางพัฒนาต่อ</t>
  </si>
  <si>
    <t xml:space="preserve">ติดหลุมคำตอบดีเฉพาะที่ (Local Optimum) — P-n40-k5 ยังมี Gap 12.23%</t>
  </si>
  <si>
    <t xml:space="preserve">Multi-start (รัน Clarke-Wright หลายแบบ) + Simulated Annealing / Tabu Search เพื่อหนีหลุม</t>
  </si>
  <si>
    <t xml:space="preserve">ย้าย/สลับทีละ 1 จุด — เมื่อเวลาตึง (70 นาที) Gap ขึ้นเป็น ~4%</t>
  </si>
  <si>
    <t xml:space="preserve">Or-opt แบบย้ายเป็นกลุ่ม 2–3 จุดติดกัน</t>
  </si>
  <si>
    <t xml:space="preserve">2-opt ทำงานแค่ในคันเดียว — ยังมีเส้นไขว้ระหว่างคัน</t>
  </si>
  <si>
    <t xml:space="preserve">2-opt* ให้ 2 คันแลกช่วงเส้นทางกัน</t>
  </si>
  <si>
    <t xml:space="preserve">ระยะเส้นตรง ความเร็วคงที่ รอบจ่ายงานเดียว</t>
  </si>
  <si>
    <t xml:space="preserve">ระยะถนนจริง + ข้อมูลจราจร + รถวิ่งหลายเที่ยว (Google OR-Tools)</t>
  </si>
  <si>
    <t xml:space="preserve">ไม่มี time window ของแต่ละไซต์ และไม่แบ่งส่ง (1 ไซต์ = 1 คัน)</t>
  </si>
  <si>
    <t xml:space="preserve">VRPTW + split delivery สำหรับงานเทขนาดใหญ่</t>
  </si>
  <si>
    <t xml:space="preserve">Exact optimum ใช้ได้แค่เคสเล็ก (~15 ไซต์)</t>
  </si>
  <si>
    <t xml:space="preserve">ใช้ lower bound หรือ solver เชิงพาณิชย์เป็นไม้บรรทัดเมื่อโจทย์ใหญ่ขึ้น</t>
  </si>
  <si>
    <t xml:space="preserve">9. Green Logistics &amp; Sensitivity</t>
  </si>
  <si>
    <t xml:space="preserve">ระยะทาง → น้ำมัน → CO2 และผลเมื่อกติกาความสดเข้มขึ้น · ช่องสีน้ำเงิน = สมมติฐานที่แก้ได้</t>
  </si>
  <si>
    <t xml:space="preserve">สมมติฐาน (Input)</t>
  </si>
  <si>
    <t xml:space="preserve">อัตราสิ้นเปลืองรถโม่งบรรทุกเต็ม (ลิตร/กม.)</t>
  </si>
  <si>
    <t xml:space="preserve">สมมติฐาน ควรยืนยันกับข้อมูล fleet จริงของ CPAC</t>
  </si>
  <si>
    <t xml:space="preserve">Emission factor ดีเซล (kg CO2/ลิตร)</t>
  </si>
  <si>
    <t xml:space="preserve">ค่า default ตาม IPCC 2006 (~74.1 kg CO2/GJ × ~36 MJ/ลิตร)</t>
  </si>
  <si>
    <t xml:space="preserve">จำนวนรอบจ่ายงานต่อปี</t>
  </si>
  <si>
    <t xml:space="preserve">ตัวอย่าง: วันละ 1 รอบ × 300 วันทำงาน</t>
  </si>
  <si>
    <t xml:space="preserve">CO2 ของแต่ละแผน</t>
  </si>
  <si>
    <t xml:space="preserve">ดีเซล (ลิตร)</t>
  </si>
  <si>
    <t xml:space="preserve">CO2 ต่อปี (ตัน)</t>
  </si>
  <si>
    <t xml:space="preserve">Nearest Neighbor (baseline)</t>
  </si>
  <si>
    <t xml:space="preserve">Repair อย่างเดียว (v1)</t>
  </si>
  <si>
    <t xml:space="preserve">Time-aware (v2) — แผนสุดท้าย</t>
  </si>
  <si>
    <t xml:space="preserve">ลดได้เทียบ Nearest Neighbor</t>
  </si>
  <si>
    <t xml:space="preserve">ลดได้เทียบแผน v1</t>
  </si>
  <si>
    <t xml:space="preserve">กติกาความสดเพิ่มระยะเพียง 6 กม. (ประมาณ 5.6 kg CO2 ต่อรอบ) แต่ป้องกันคอนกรีตเสียทั้งเที่ยว คาร์บอนจากปูนซีเมนต์ในคอนกรีตอยู่ในระดับหลักร้อย kg ต่อ ลบ.ม. จึงสูงกว่าหลายเท่า (ควรอ้างค่าจาก EPD ของ CPAC เมื่อนำเสนอจริง)</t>
  </si>
  <si>
    <t xml:space="preserve">Sensitivity: ถ้านิยาม 90 นาทีเข้มขึ้น (70 นาที = 90 − โหลด 10 − เทจุดสุดท้าย 10)</t>
  </si>
  <si>
    <t xml:space="preserve">เวลาถึงไซต์สูงสุด (นาที)</t>
  </si>
  <si>
    <t xml:space="preserve">Solver (กม.)</t>
  </si>
  <si>
    <t xml:space="preserve">Solver (คัน)</t>
  </si>
  <si>
    <t xml:space="preserve">Exact (กม.)</t>
  </si>
  <si>
    <t xml:space="preserve">Exact (คัน)</t>
  </si>
  <si>
    <t xml:space="preserve">Gap</t>
  </si>
  <si>
    <t xml:space="preserve">ผลจากฟังก์ชัน sensitivity() ใน vrp_solver_case3.py: รถ 7 คันยังพอถึงระดับ 70 นาที แต่เมื่อเวลาตึงมาก local search ที่ย้ายทีละจุดห่างจาก optimal ~4% (แนวทางแก้อยู่ในชีต 8)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</si>
</sst>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%"/>
    <numFmt numFmtId="167" formatCode="0.0"/>
    <numFmt numFmtId="168" formatCode="0%"/>
    <numFmt numFmtId="169" formatCode="General"/>
    <numFmt numFmtId="170" formatCode="\+0;\-0;0"/>
    <numFmt numFmtId="171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sz val="10"/>
      <color rgb="FF6B7280"/>
      <name val="Tahoma"/>
      <family val="0"/>
      <charset val="1"/>
    </font>
    <font>
      <b val="true"/>
      <sz val="11.5"/>
      <color rgb="FFFFFFFF"/>
      <name val="Tahoma"/>
      <family val="0"/>
      <charset val="1"/>
    </font>
    <font>
      <b val="true"/>
      <sz val="10.5"/>
      <color rgb="FF14322C"/>
      <name val="Tahoma"/>
      <family val="0"/>
      <charset val="1"/>
    </font>
    <font>
      <sz val="10.5"/>
      <color rgb="FF1D4ED8"/>
      <name val="Tahoma"/>
      <family val="0"/>
      <charset val="1"/>
    </font>
    <font>
      <b val="true"/>
      <sz val="10.5"/>
      <color rgb="FF1F2937"/>
      <name val="Tahoma"/>
      <family val="0"/>
      <charset val="1"/>
    </font>
    <font>
      <sz val="10.5"/>
      <color rgb="FF1F2937"/>
      <name val="Tahoma"/>
      <family val="0"/>
      <charset val="1"/>
    </font>
    <font>
      <i val="true"/>
      <sz val="10"/>
      <color rgb="FF6B7280"/>
      <name val="Tahoma"/>
      <family val="0"/>
      <charset val="1"/>
    </font>
    <font>
      <b val="true"/>
      <sz val="10.5"/>
      <color rgb="FFFFFFFF"/>
      <name val="Tahoma"/>
      <family val="0"/>
      <charset val="1"/>
    </font>
    <font>
      <b val="true"/>
      <sz val="10.5"/>
      <color rgb="FF1F7A3D"/>
      <name val="Tahoma"/>
      <family val="0"/>
      <charset val="1"/>
    </font>
    <font>
      <b val="true"/>
      <sz val="12"/>
      <color rgb="FF1F7A3D"/>
      <name val="Tahoma"/>
      <family val="0"/>
      <charset val="1"/>
    </font>
    <font>
      <b val="true"/>
      <sz val="10.5"/>
      <color rgb="FFB0413E"/>
      <name val="Tahoma"/>
      <family val="0"/>
      <charset val="1"/>
    </font>
    <font>
      <b val="true"/>
      <sz val="10.5"/>
      <color rgb="FFB7791F"/>
      <name val="Tahom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4322C"/>
        <bgColor rgb="FF1F2937"/>
      </patternFill>
    </fill>
    <fill>
      <patternFill patternType="solid">
        <fgColor rgb="FF3E6659"/>
        <bgColor rgb="FF1F7A3D"/>
      </patternFill>
    </fill>
    <fill>
      <patternFill patternType="solid">
        <fgColor rgb="FFF2F5F3"/>
        <bgColor rgb="FFE9F1ED"/>
      </patternFill>
    </fill>
    <fill>
      <patternFill patternType="solid">
        <fgColor rgb="FFFFFFFF"/>
        <bgColor rgb="FFF2F5F3"/>
      </patternFill>
    </fill>
    <fill>
      <patternFill patternType="solid">
        <fgColor rgb="FFFDF1DC"/>
        <bgColor rgb="FFFBE9E7"/>
      </patternFill>
    </fill>
    <fill>
      <patternFill patternType="solid">
        <fgColor rgb="FFE9F1ED"/>
        <bgColor rgb="FFF2F5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DC"/>
      </left>
      <right style="thin">
        <color rgb="FFD9DEDC"/>
      </right>
      <top style="thin">
        <color rgb="FFD9DEDC"/>
      </top>
      <bottom style="thin">
        <color rgb="FFD9DEDC"/>
      </bottom>
      <diagonal/>
    </border>
    <border diagonalUp="false" diagonalDown="false">
      <left style="thin">
        <color rgb="FFD9DEDC"/>
      </left>
      <right/>
      <top style="thin">
        <color rgb="FFD9DEDC"/>
      </top>
      <bottom style="thin">
        <color rgb="FFD9DE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B0413E"/>
      </font>
      <fill>
        <patternFill>
          <bgColor rgb="FFFBE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B7791F"/>
      <rgbColor rgb="FF800080"/>
      <rgbColor rgb="FF008080"/>
      <rgbColor rgb="FFC0C0C0"/>
      <rgbColor rgb="FF808080"/>
      <rgbColor rgb="FF9999FF"/>
      <rgbColor rgb="FFB0413E"/>
      <rgbColor rgb="FFFDF1DC"/>
      <rgbColor rgb="FFE9F1ED"/>
      <rgbColor rgb="FF660066"/>
      <rgbColor rgb="FFFF8080"/>
      <rgbColor rgb="FF1D4ED8"/>
      <rgbColor rgb="FFD9DE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3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E6659"/>
      <rgbColor rgb="FF14322C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/>
      <c r="D4" s="3" t="s">
        <v>3</v>
      </c>
      <c r="E4" s="3"/>
    </row>
    <row r="5" customFormat="false" ht="15.75" hidden="false" customHeight="true" outlineLevel="0" collapsed="false">
      <c r="A5" s="4" t="s">
        <v>4</v>
      </c>
      <c r="B5" s="5" t="s">
        <v>5</v>
      </c>
      <c r="D5" s="4" t="s">
        <v>6</v>
      </c>
      <c r="E5" s="6" t="str">
        <f aca="false">COUNTA('5 เส้นทาง'!A4:A10)&amp;" / "&amp;B8</f>
        <v>7 / 8</v>
      </c>
    </row>
    <row r="6" customFormat="false" ht="15.75" hidden="false" customHeight="true" outlineLevel="0" collapsed="false">
      <c r="A6" s="4" t="s">
        <v>7</v>
      </c>
      <c r="B6" s="5" t="n">
        <v>15</v>
      </c>
      <c r="D6" s="4" t="s">
        <v>8</v>
      </c>
      <c r="E6" s="6" t="n">
        <f aca="false">'5 เส้นทาง'!F11</f>
        <v>247</v>
      </c>
    </row>
    <row r="7" customFormat="false" ht="15.75" hidden="false" customHeight="true" outlineLevel="0" collapsed="false">
      <c r="A7" s="4" t="s">
        <v>9</v>
      </c>
      <c r="B7" s="5" t="n">
        <v>10</v>
      </c>
      <c r="D7" s="4" t="s">
        <v>10</v>
      </c>
      <c r="E7" s="6" t="n">
        <f aca="false">SUM('2 ข้อมูล'!E4:E19)</f>
        <v>60</v>
      </c>
    </row>
    <row r="8" customFormat="false" ht="15.75" hidden="false" customHeight="true" outlineLevel="0" collapsed="false">
      <c r="A8" s="4" t="s">
        <v>11</v>
      </c>
      <c r="B8" s="5" t="n">
        <v>8</v>
      </c>
      <c r="D8" s="4" t="s">
        <v>12</v>
      </c>
      <c r="E8" s="6" t="str">
        <f aca="false">IF(COUNTIF('5 เส้นทาง'!D4:D10,"&gt;"&amp;B7)=0,"ผ่าน","ไม่ผ่าน")</f>
        <v>ผ่าน</v>
      </c>
    </row>
    <row r="9" customFormat="false" ht="15.75" hidden="false" customHeight="true" outlineLevel="0" collapsed="false">
      <c r="A9" s="4" t="s">
        <v>13</v>
      </c>
      <c r="B9" s="5" t="n">
        <v>30</v>
      </c>
      <c r="D9" s="4" t="s">
        <v>14</v>
      </c>
      <c r="E9" s="6" t="str">
        <f aca="false">IF(COUNTIF('5 เส้นทาง'!G4:G10,"&gt;"&amp;B11)=0,"ผ่าน","ไม่ผ่าน")</f>
        <v>ผ่าน</v>
      </c>
    </row>
    <row r="10" customFormat="false" ht="15.75" hidden="false" customHeight="true" outlineLevel="0" collapsed="false">
      <c r="A10" s="4" t="s">
        <v>15</v>
      </c>
      <c r="B10" s="5" t="n">
        <v>10</v>
      </c>
      <c r="D10" s="4" t="s">
        <v>16</v>
      </c>
      <c r="E10" s="7" t="n">
        <f aca="false">'7 เปรียบเทียบ'!E7</f>
        <v>0</v>
      </c>
    </row>
    <row r="11" customFormat="false" ht="15.75" hidden="false" customHeight="true" outlineLevel="0" collapsed="false">
      <c r="A11" s="4" t="s">
        <v>17</v>
      </c>
      <c r="B11" s="5" t="n">
        <v>90</v>
      </c>
      <c r="D11" s="4" t="s">
        <v>18</v>
      </c>
      <c r="E11" s="8" t="n">
        <f aca="false">'7 เปรียบเทียบ'!B14</f>
        <v>0.165540540540541</v>
      </c>
    </row>
    <row r="12" customFormat="false" ht="15.75" hidden="false" customHeight="true" outlineLevel="0" collapsed="false">
      <c r="D12" s="4" t="s">
        <v>19</v>
      </c>
      <c r="E12" s="9" t="n">
        <f aca="false">'9 Green'!D12</f>
        <v>231.686</v>
      </c>
    </row>
    <row r="14" customFormat="false" ht="15" hidden="false" customHeight="true" outlineLevel="0" collapsed="false">
      <c r="A14" s="3" t="s">
        <v>20</v>
      </c>
      <c r="B14" s="3"/>
      <c r="C14" s="3"/>
      <c r="D14" s="3"/>
      <c r="E14" s="3"/>
    </row>
    <row r="15" customFormat="false" ht="30" hidden="false" customHeight="true" outlineLevel="0" collapsed="false">
      <c r="A15" s="10" t="s">
        <v>21</v>
      </c>
      <c r="B15" s="10"/>
      <c r="C15" s="10"/>
      <c r="D15" s="10"/>
      <c r="E15" s="10"/>
    </row>
    <row r="16" customFormat="false" ht="30" hidden="false" customHeight="true" outlineLevel="0" collapsed="false">
      <c r="A16" s="10"/>
      <c r="B16" s="10"/>
      <c r="C16" s="10"/>
      <c r="D16" s="10"/>
      <c r="E16" s="10"/>
    </row>
    <row r="17" customFormat="false" ht="15" hidden="false" customHeight="true" outlineLevel="0" collapsed="false">
      <c r="A17" s="10"/>
      <c r="B17" s="10"/>
      <c r="C17" s="10"/>
      <c r="D17" s="10"/>
      <c r="E17" s="10"/>
    </row>
    <row r="19" customFormat="false" ht="15" hidden="false" customHeight="false" outlineLevel="0" collapsed="false">
      <c r="A19" s="11" t="s">
        <v>22</v>
      </c>
    </row>
    <row r="20" customFormat="false" ht="15" hidden="false" customHeight="true" outlineLevel="0" collapsed="false">
      <c r="A20" s="2" t="s">
        <v>23</v>
      </c>
      <c r="B20" s="2"/>
      <c r="C20" s="2"/>
      <c r="D20" s="2"/>
      <c r="E20" s="2"/>
    </row>
  </sheetData>
  <mergeCells count="7">
    <mergeCell ref="A1:E1"/>
    <mergeCell ref="A2:E2"/>
    <mergeCell ref="A4:B4"/>
    <mergeCell ref="D4:E4"/>
    <mergeCell ref="A14:E14"/>
    <mergeCell ref="A15:E17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24"/>
    <col collapsed="false" customWidth="true" hidden="false" outlineLevel="0" max="2" min="2" style="12" width="95"/>
  </cols>
  <sheetData>
    <row r="1" customFormat="false" ht="30" hidden="false" customHeight="true" outlineLevel="0" collapsed="false">
      <c r="A1" s="13" t="s">
        <v>24</v>
      </c>
      <c r="B1" s="13"/>
    </row>
    <row r="2" customFormat="false" ht="12" hidden="false" customHeight="true" outlineLevel="0" collapsed="false">
      <c r="A2" s="14" t="s">
        <v>25</v>
      </c>
      <c r="B2" s="14"/>
    </row>
    <row r="4" customFormat="false" ht="75" hidden="false" customHeight="true" outlineLevel="0" collapsed="false">
      <c r="A4" s="15" t="s">
        <v>26</v>
      </c>
      <c r="B4" s="16" t="s">
        <v>27</v>
      </c>
    </row>
    <row r="5" customFormat="false" ht="75" hidden="false" customHeight="true" outlineLevel="0" collapsed="false">
      <c r="A5" s="15" t="s">
        <v>28</v>
      </c>
      <c r="B5" s="16" t="s">
        <v>29</v>
      </c>
    </row>
    <row r="6" customFormat="false" ht="75" hidden="false" customHeight="true" outlineLevel="0" collapsed="false">
      <c r="A6" s="15" t="s">
        <v>30</v>
      </c>
      <c r="B6" s="16" t="s">
        <v>31</v>
      </c>
    </row>
    <row r="7" customFormat="false" ht="75" hidden="false" customHeight="true" outlineLevel="0" collapsed="false">
      <c r="A7" s="15" t="s">
        <v>32</v>
      </c>
      <c r="B7" s="16" t="s">
        <v>33</v>
      </c>
    </row>
    <row r="8" customFormat="false" ht="75" hidden="false" customHeight="true" outlineLevel="0" collapsed="false">
      <c r="A8" s="15" t="s">
        <v>34</v>
      </c>
      <c r="B8" s="16" t="s">
        <v>35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10"/>
    <col collapsed="false" customWidth="true" hidden="false" outlineLevel="0" max="2" min="2" style="12" width="18"/>
    <col collapsed="false" customWidth="true" hidden="false" outlineLevel="0" max="4" min="3" style="12" width="12"/>
    <col collapsed="false" customWidth="true" hidden="false" outlineLevel="0" max="5" min="5" style="12" width="16"/>
  </cols>
  <sheetData>
    <row r="1" customFormat="false" ht="30" hidden="false" customHeight="true" outlineLevel="0" collapsed="false">
      <c r="A1" s="13" t="s">
        <v>36</v>
      </c>
      <c r="B1" s="13"/>
      <c r="C1" s="13"/>
      <c r="D1" s="13"/>
      <c r="E1" s="13"/>
    </row>
    <row r="2" customFormat="false" ht="12" hidden="false" customHeight="true" outlineLevel="0" collapsed="false">
      <c r="A2" s="14" t="s">
        <v>37</v>
      </c>
      <c r="B2" s="14"/>
      <c r="C2" s="14"/>
      <c r="D2" s="14"/>
      <c r="E2" s="14"/>
    </row>
    <row r="3" customFormat="false" ht="25.5" hidden="false" customHeight="true" outlineLevel="0" collapsed="false">
      <c r="A3" s="17" t="s">
        <v>38</v>
      </c>
      <c r="B3" s="17" t="s">
        <v>39</v>
      </c>
      <c r="C3" s="17" t="s">
        <v>40</v>
      </c>
      <c r="D3" s="17" t="s">
        <v>41</v>
      </c>
      <c r="E3" s="17" t="s">
        <v>42</v>
      </c>
    </row>
    <row r="4" customFormat="false" ht="15" hidden="false" customHeight="true" outlineLevel="0" collapsed="false">
      <c r="A4" s="18" t="n">
        <v>1</v>
      </c>
      <c r="B4" s="19" t="s">
        <v>4</v>
      </c>
      <c r="C4" s="20" t="n">
        <v>20</v>
      </c>
      <c r="D4" s="20" t="n">
        <v>20</v>
      </c>
      <c r="E4" s="20" t="n">
        <v>0</v>
      </c>
    </row>
    <row r="5" customFormat="false" ht="15" hidden="false" customHeight="true" outlineLevel="0" collapsed="false">
      <c r="A5" s="21" t="n">
        <v>2</v>
      </c>
      <c r="B5" s="22" t="s">
        <v>43</v>
      </c>
      <c r="C5" s="23" t="n">
        <v>14</v>
      </c>
      <c r="D5" s="23" t="n">
        <v>7</v>
      </c>
      <c r="E5" s="23" t="n">
        <v>4</v>
      </c>
    </row>
    <row r="6" customFormat="false" ht="15" hidden="false" customHeight="true" outlineLevel="0" collapsed="false">
      <c r="A6" s="18" t="n">
        <v>3</v>
      </c>
      <c r="B6" s="19" t="s">
        <v>43</v>
      </c>
      <c r="C6" s="20" t="n">
        <v>25</v>
      </c>
      <c r="D6" s="20" t="n">
        <v>5</v>
      </c>
      <c r="E6" s="20" t="n">
        <v>4</v>
      </c>
    </row>
    <row r="7" customFormat="false" ht="15" hidden="false" customHeight="true" outlineLevel="0" collapsed="false">
      <c r="A7" s="21" t="n">
        <v>4</v>
      </c>
      <c r="B7" s="22" t="s">
        <v>43</v>
      </c>
      <c r="C7" s="23" t="n">
        <v>21</v>
      </c>
      <c r="D7" s="23" t="n">
        <v>15</v>
      </c>
      <c r="E7" s="23" t="n">
        <v>6</v>
      </c>
    </row>
    <row r="8" customFormat="false" ht="15" hidden="false" customHeight="true" outlineLevel="0" collapsed="false">
      <c r="A8" s="18" t="n">
        <v>5</v>
      </c>
      <c r="B8" s="19" t="s">
        <v>43</v>
      </c>
      <c r="C8" s="20" t="n">
        <v>4</v>
      </c>
      <c r="D8" s="20" t="n">
        <v>20</v>
      </c>
      <c r="E8" s="20" t="n">
        <v>4</v>
      </c>
    </row>
    <row r="9" customFormat="false" ht="15" hidden="false" customHeight="true" outlineLevel="0" collapsed="false">
      <c r="A9" s="21" t="n">
        <v>6</v>
      </c>
      <c r="B9" s="22" t="s">
        <v>43</v>
      </c>
      <c r="C9" s="23" t="n">
        <v>3</v>
      </c>
      <c r="D9" s="23" t="n">
        <v>18</v>
      </c>
      <c r="E9" s="23" t="n">
        <v>4</v>
      </c>
    </row>
    <row r="10" customFormat="false" ht="15" hidden="false" customHeight="true" outlineLevel="0" collapsed="false">
      <c r="A10" s="18" t="n">
        <v>7</v>
      </c>
      <c r="B10" s="19" t="s">
        <v>43</v>
      </c>
      <c r="C10" s="20" t="n">
        <v>5</v>
      </c>
      <c r="D10" s="20" t="n">
        <v>5</v>
      </c>
      <c r="E10" s="20" t="n">
        <v>4</v>
      </c>
    </row>
    <row r="11" customFormat="false" ht="15" hidden="false" customHeight="true" outlineLevel="0" collapsed="false">
      <c r="A11" s="21" t="n">
        <v>8</v>
      </c>
      <c r="B11" s="22" t="s">
        <v>43</v>
      </c>
      <c r="C11" s="23" t="n">
        <v>17</v>
      </c>
      <c r="D11" s="23" t="n">
        <v>32</v>
      </c>
      <c r="E11" s="23" t="n">
        <v>3</v>
      </c>
    </row>
    <row r="12" customFormat="false" ht="15" hidden="false" customHeight="true" outlineLevel="0" collapsed="false">
      <c r="A12" s="18" t="n">
        <v>9</v>
      </c>
      <c r="B12" s="19" t="s">
        <v>43</v>
      </c>
      <c r="C12" s="20" t="n">
        <v>6</v>
      </c>
      <c r="D12" s="20" t="n">
        <v>10</v>
      </c>
      <c r="E12" s="20" t="n">
        <v>4</v>
      </c>
    </row>
    <row r="13" customFormat="false" ht="15" hidden="false" customHeight="true" outlineLevel="0" collapsed="false">
      <c r="A13" s="21" t="n">
        <v>10</v>
      </c>
      <c r="B13" s="22" t="s">
        <v>43</v>
      </c>
      <c r="C13" s="23" t="n">
        <v>25</v>
      </c>
      <c r="D13" s="23" t="n">
        <v>36</v>
      </c>
      <c r="E13" s="23" t="n">
        <v>5</v>
      </c>
    </row>
    <row r="14" customFormat="false" ht="15" hidden="false" customHeight="true" outlineLevel="0" collapsed="false">
      <c r="A14" s="18" t="n">
        <v>11</v>
      </c>
      <c r="B14" s="19" t="s">
        <v>43</v>
      </c>
      <c r="C14" s="20" t="n">
        <v>23</v>
      </c>
      <c r="D14" s="20" t="n">
        <v>16</v>
      </c>
      <c r="E14" s="20" t="n">
        <v>5</v>
      </c>
    </row>
    <row r="15" customFormat="false" ht="15" hidden="false" customHeight="true" outlineLevel="0" collapsed="false">
      <c r="A15" s="21" t="n">
        <v>12</v>
      </c>
      <c r="B15" s="22" t="s">
        <v>43</v>
      </c>
      <c r="C15" s="23" t="n">
        <v>37</v>
      </c>
      <c r="D15" s="23" t="n">
        <v>4</v>
      </c>
      <c r="E15" s="23" t="n">
        <v>2</v>
      </c>
    </row>
    <row r="16" customFormat="false" ht="15" hidden="false" customHeight="true" outlineLevel="0" collapsed="false">
      <c r="A16" s="18" t="n">
        <v>13</v>
      </c>
      <c r="B16" s="19" t="s">
        <v>43</v>
      </c>
      <c r="C16" s="20" t="n">
        <v>33</v>
      </c>
      <c r="D16" s="20" t="n">
        <v>12</v>
      </c>
      <c r="E16" s="20" t="n">
        <v>3</v>
      </c>
    </row>
    <row r="17" customFormat="false" ht="15" hidden="false" customHeight="true" outlineLevel="0" collapsed="false">
      <c r="A17" s="21" t="n">
        <v>14</v>
      </c>
      <c r="B17" s="22" t="s">
        <v>43</v>
      </c>
      <c r="C17" s="23" t="n">
        <v>7</v>
      </c>
      <c r="D17" s="23" t="n">
        <v>6</v>
      </c>
      <c r="E17" s="23" t="n">
        <v>2</v>
      </c>
    </row>
    <row r="18" customFormat="false" ht="15" hidden="false" customHeight="true" outlineLevel="0" collapsed="false">
      <c r="A18" s="18" t="n">
        <v>15</v>
      </c>
      <c r="B18" s="19" t="s">
        <v>43</v>
      </c>
      <c r="C18" s="20" t="n">
        <v>13</v>
      </c>
      <c r="D18" s="20" t="n">
        <v>31</v>
      </c>
      <c r="E18" s="20" t="n">
        <v>5</v>
      </c>
    </row>
    <row r="19" customFormat="false" ht="15" hidden="false" customHeight="true" outlineLevel="0" collapsed="false">
      <c r="A19" s="21" t="n">
        <v>16</v>
      </c>
      <c r="B19" s="22" t="s">
        <v>43</v>
      </c>
      <c r="C19" s="23" t="n">
        <v>9</v>
      </c>
      <c r="D19" s="23" t="n">
        <v>23</v>
      </c>
      <c r="E19" s="23" t="n">
        <v>5</v>
      </c>
    </row>
    <row r="20" customFormat="false" ht="15" hidden="false" customHeight="true" outlineLevel="0" collapsed="false">
      <c r="A20" s="24" t="s">
        <v>44</v>
      </c>
      <c r="B20" s="24"/>
      <c r="C20" s="24"/>
      <c r="D20" s="24"/>
      <c r="E20" s="21" t="n">
        <f aca="false">SUM(E4:E19)</f>
        <v>60</v>
      </c>
    </row>
    <row r="22" customFormat="false" ht="12" hidden="false" customHeight="true" outlineLevel="0" collapsed="false">
      <c r="A22" s="25" t="s">
        <v>45</v>
      </c>
      <c r="B22" s="25"/>
      <c r="C22" s="25"/>
      <c r="D22" s="25"/>
      <c r="E22" s="25"/>
    </row>
  </sheetData>
  <mergeCells count="4">
    <mergeCell ref="A1:E1"/>
    <mergeCell ref="A2:E2"/>
    <mergeCell ref="A20:D20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6"/>
    <col collapsed="false" customWidth="true" hidden="false" outlineLevel="0" max="2" min="2" style="12" width="30"/>
    <col collapsed="false" customWidth="true" hidden="false" outlineLevel="0" max="3" min="3" style="12" width="72"/>
  </cols>
  <sheetData>
    <row r="1" customFormat="false" ht="30" hidden="false" customHeight="true" outlineLevel="0" collapsed="false">
      <c r="A1" s="13" t="s">
        <v>46</v>
      </c>
      <c r="B1" s="13"/>
      <c r="C1" s="13"/>
    </row>
    <row r="2" customFormat="false" ht="12" hidden="false" customHeight="true" outlineLevel="0" collapsed="false">
      <c r="A2" s="14" t="s">
        <v>47</v>
      </c>
      <c r="B2" s="14"/>
      <c r="C2" s="14"/>
    </row>
    <row r="3" customFormat="false" ht="25.5" hidden="false" customHeight="true" outlineLevel="0" collapsed="false">
      <c r="A3" s="17" t="s">
        <v>48</v>
      </c>
      <c r="B3" s="17" t="s">
        <v>49</v>
      </c>
      <c r="C3" s="17" t="s">
        <v>50</v>
      </c>
    </row>
    <row r="4" customFormat="false" ht="39.75" hidden="false" customHeight="true" outlineLevel="0" collapsed="false">
      <c r="A4" s="18" t="n">
        <v>1</v>
      </c>
      <c r="B4" s="19" t="s">
        <v>51</v>
      </c>
      <c r="C4" s="26" t="s">
        <v>52</v>
      </c>
    </row>
    <row r="5" customFormat="false" ht="39.75" hidden="false" customHeight="true" outlineLevel="0" collapsed="false">
      <c r="A5" s="21" t="n">
        <v>2</v>
      </c>
      <c r="B5" s="22" t="s">
        <v>53</v>
      </c>
      <c r="C5" s="27" t="s">
        <v>54</v>
      </c>
    </row>
    <row r="6" customFormat="false" ht="39.75" hidden="false" customHeight="true" outlineLevel="0" collapsed="false">
      <c r="A6" s="18" t="n">
        <v>3</v>
      </c>
      <c r="B6" s="19" t="s">
        <v>55</v>
      </c>
      <c r="C6" s="26" t="s">
        <v>56</v>
      </c>
    </row>
    <row r="7" customFormat="false" ht="39.75" hidden="false" customHeight="true" outlineLevel="0" collapsed="false">
      <c r="A7" s="21" t="n">
        <v>4</v>
      </c>
      <c r="B7" s="22" t="s">
        <v>57</v>
      </c>
      <c r="C7" s="27" t="s">
        <v>58</v>
      </c>
    </row>
    <row r="8" customFormat="false" ht="39.75" hidden="false" customHeight="true" outlineLevel="0" collapsed="false">
      <c r="A8" s="18" t="n">
        <v>5</v>
      </c>
      <c r="B8" s="19" t="s">
        <v>59</v>
      </c>
      <c r="C8" s="26" t="s">
        <v>60</v>
      </c>
    </row>
    <row r="9" customFormat="false" ht="39.75" hidden="false" customHeight="true" outlineLevel="0" collapsed="false">
      <c r="A9" s="28" t="n">
        <v>6</v>
      </c>
      <c r="B9" s="29" t="s">
        <v>61</v>
      </c>
      <c r="C9" s="30" t="s">
        <v>62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84"/>
  </cols>
  <sheetData>
    <row r="1" customFormat="false" ht="30" hidden="false" customHeight="true" outlineLevel="0" collapsed="false">
      <c r="A1" s="1" t="s">
        <v>63</v>
      </c>
      <c r="B1" s="1"/>
      <c r="C1" s="1"/>
    </row>
    <row r="2" customFormat="false" ht="18" hidden="false" customHeight="true" outlineLevel="0" collapsed="false">
      <c r="A2" s="2" t="s">
        <v>64</v>
      </c>
      <c r="B2" s="2"/>
      <c r="C2" s="2"/>
    </row>
    <row r="3" customFormat="false" ht="25.5" hidden="false" customHeight="true" outlineLevel="0" collapsed="false">
      <c r="A3" s="17" t="s">
        <v>65</v>
      </c>
      <c r="B3" s="17" t="s">
        <v>66</v>
      </c>
      <c r="C3" s="17" t="s">
        <v>67</v>
      </c>
    </row>
    <row r="4" customFormat="false" ht="30.75" hidden="false" customHeight="true" outlineLevel="0" collapsed="false">
      <c r="A4" s="18" t="n">
        <v>1</v>
      </c>
      <c r="B4" s="19" t="s">
        <v>68</v>
      </c>
      <c r="C4" s="26" t="s">
        <v>69</v>
      </c>
    </row>
    <row r="5" customFormat="false" ht="30.75" hidden="false" customHeight="true" outlineLevel="0" collapsed="false">
      <c r="A5" s="21" t="n">
        <v>2</v>
      </c>
      <c r="B5" s="22" t="s">
        <v>70</v>
      </c>
      <c r="C5" s="27" t="s">
        <v>71</v>
      </c>
    </row>
    <row r="6" customFormat="false" ht="30.75" hidden="false" customHeight="true" outlineLevel="0" collapsed="false">
      <c r="A6" s="18" t="n">
        <v>3</v>
      </c>
      <c r="B6" s="19" t="s">
        <v>72</v>
      </c>
      <c r="C6" s="26" t="s">
        <v>73</v>
      </c>
    </row>
    <row r="7" customFormat="false" ht="30.75" hidden="false" customHeight="true" outlineLevel="0" collapsed="false">
      <c r="A7" s="21" t="n">
        <v>4</v>
      </c>
      <c r="B7" s="22" t="s">
        <v>74</v>
      </c>
      <c r="C7" s="27" t="s">
        <v>75</v>
      </c>
    </row>
    <row r="8" customFormat="false" ht="30.75" hidden="false" customHeight="true" outlineLevel="0" collapsed="false">
      <c r="A8" s="18" t="n">
        <v>5</v>
      </c>
      <c r="B8" s="19" t="s">
        <v>76</v>
      </c>
      <c r="C8" s="26" t="s">
        <v>77</v>
      </c>
    </row>
    <row r="9" customFormat="false" ht="30.75" hidden="false" customHeight="true" outlineLevel="0" collapsed="false">
      <c r="A9" s="28" t="n">
        <v>6</v>
      </c>
      <c r="B9" s="29" t="s">
        <v>78</v>
      </c>
      <c r="C9" s="30" t="s">
        <v>79</v>
      </c>
    </row>
    <row r="10" customFormat="false" ht="30.75" hidden="false" customHeight="true" outlineLevel="0" collapsed="false">
      <c r="A10" s="18" t="n">
        <v>7</v>
      </c>
      <c r="B10" s="19" t="s">
        <v>80</v>
      </c>
      <c r="C10" s="26" t="s">
        <v>81</v>
      </c>
    </row>
    <row r="11" customFormat="false" ht="30.75" hidden="false" customHeight="true" outlineLevel="0" collapsed="false">
      <c r="A11" s="21" t="n">
        <v>8</v>
      </c>
      <c r="B11" s="22" t="s">
        <v>82</v>
      </c>
      <c r="C11" s="27" t="s">
        <v>83</v>
      </c>
    </row>
    <row r="12" customFormat="false" ht="30.75" hidden="false" customHeight="true" outlineLevel="0" collapsed="false">
      <c r="A12" s="18" t="n">
        <v>9</v>
      </c>
      <c r="B12" s="19" t="s">
        <v>84</v>
      </c>
      <c r="C12" s="26" t="s">
        <v>85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8"/>
  </cols>
  <sheetData>
    <row r="1" customFormat="false" ht="30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I1" s="31" t="s">
        <v>87</v>
      </c>
      <c r="J1" s="32" t="n">
        <v>10</v>
      </c>
    </row>
    <row r="2" customFormat="false" ht="18" hidden="false" customHeight="true" outlineLevel="0" collapsed="false">
      <c r="A2" s="2" t="s">
        <v>88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17" t="s">
        <v>89</v>
      </c>
      <c r="B3" s="17" t="s">
        <v>90</v>
      </c>
      <c r="C3" s="17" t="s">
        <v>91</v>
      </c>
      <c r="D3" s="17" t="s">
        <v>92</v>
      </c>
      <c r="E3" s="17" t="s">
        <v>93</v>
      </c>
      <c r="F3" s="17" t="s">
        <v>94</v>
      </c>
      <c r="G3" s="17" t="s">
        <v>95</v>
      </c>
    </row>
    <row r="4" customFormat="false" ht="15.75" hidden="false" customHeight="true" outlineLevel="0" collapsed="false">
      <c r="A4" s="18" t="s">
        <v>96</v>
      </c>
      <c r="B4" s="26" t="s">
        <v>97</v>
      </c>
      <c r="C4" s="20" t="n">
        <v>1</v>
      </c>
      <c r="D4" s="20" t="n">
        <v>6</v>
      </c>
      <c r="E4" s="33" t="n">
        <f aca="false">D4/$J$1</f>
        <v>0.6</v>
      </c>
      <c r="F4" s="20" t="n">
        <v>10</v>
      </c>
      <c r="G4" s="20" t="n">
        <v>10</v>
      </c>
    </row>
    <row r="5" customFormat="false" ht="15.75" hidden="false" customHeight="true" outlineLevel="0" collapsed="false">
      <c r="A5" s="21" t="s">
        <v>98</v>
      </c>
      <c r="B5" s="27" t="s">
        <v>99</v>
      </c>
      <c r="C5" s="23" t="n">
        <v>3</v>
      </c>
      <c r="D5" s="23" t="n">
        <v>10</v>
      </c>
      <c r="E5" s="34" t="n">
        <f aca="false">D5/$J$1</f>
        <v>1</v>
      </c>
      <c r="F5" s="23" t="n">
        <v>47</v>
      </c>
      <c r="G5" s="23" t="n">
        <v>84</v>
      </c>
    </row>
    <row r="6" customFormat="false" ht="15.75" hidden="false" customHeight="true" outlineLevel="0" collapsed="false">
      <c r="A6" s="18" t="s">
        <v>100</v>
      </c>
      <c r="B6" s="26" t="s">
        <v>101</v>
      </c>
      <c r="C6" s="20" t="n">
        <v>2</v>
      </c>
      <c r="D6" s="20" t="n">
        <v>8</v>
      </c>
      <c r="E6" s="33" t="n">
        <f aca="false">D6/$J$1</f>
        <v>0.8</v>
      </c>
      <c r="F6" s="20" t="n">
        <v>41</v>
      </c>
      <c r="G6" s="20" t="n">
        <v>60</v>
      </c>
    </row>
    <row r="7" customFormat="false" ht="15.75" hidden="false" customHeight="true" outlineLevel="0" collapsed="false">
      <c r="A7" s="21" t="s">
        <v>102</v>
      </c>
      <c r="B7" s="27" t="s">
        <v>103</v>
      </c>
      <c r="C7" s="23" t="n">
        <v>2</v>
      </c>
      <c r="D7" s="23" t="n">
        <v>8</v>
      </c>
      <c r="E7" s="34" t="n">
        <f aca="false">D7/$J$1</f>
        <v>0.8</v>
      </c>
      <c r="F7" s="23" t="n">
        <v>35</v>
      </c>
      <c r="G7" s="23" t="n">
        <v>46</v>
      </c>
    </row>
    <row r="8" customFormat="false" ht="15.75" hidden="false" customHeight="true" outlineLevel="0" collapsed="false">
      <c r="A8" s="18" t="s">
        <v>104</v>
      </c>
      <c r="B8" s="26" t="s">
        <v>105</v>
      </c>
      <c r="C8" s="20" t="n">
        <v>3</v>
      </c>
      <c r="D8" s="20" t="n">
        <v>10</v>
      </c>
      <c r="E8" s="33" t="n">
        <f aca="false">D8/$J$1</f>
        <v>1</v>
      </c>
      <c r="F8" s="20" t="n">
        <v>43</v>
      </c>
      <c r="G8" s="20" t="n">
        <v>72</v>
      </c>
    </row>
    <row r="9" customFormat="false" ht="15.75" hidden="false" customHeight="true" outlineLevel="0" collapsed="false">
      <c r="A9" s="21" t="s">
        <v>106</v>
      </c>
      <c r="B9" s="27" t="s">
        <v>107</v>
      </c>
      <c r="C9" s="23" t="n">
        <v>2</v>
      </c>
      <c r="D9" s="23" t="n">
        <v>10</v>
      </c>
      <c r="E9" s="34" t="n">
        <f aca="false">D9/$J$1</f>
        <v>1</v>
      </c>
      <c r="F9" s="23" t="n">
        <v>33</v>
      </c>
      <c r="G9" s="23" t="n">
        <v>50</v>
      </c>
    </row>
    <row r="10" customFormat="false" ht="15.75" hidden="false" customHeight="true" outlineLevel="0" collapsed="false">
      <c r="A10" s="18" t="s">
        <v>108</v>
      </c>
      <c r="B10" s="26" t="s">
        <v>109</v>
      </c>
      <c r="C10" s="20" t="n">
        <v>2</v>
      </c>
      <c r="D10" s="20" t="n">
        <v>8</v>
      </c>
      <c r="E10" s="33" t="n">
        <f aca="false">D10/$J$1</f>
        <v>0.8</v>
      </c>
      <c r="F10" s="20" t="n">
        <v>38</v>
      </c>
      <c r="G10" s="20" t="n">
        <v>62</v>
      </c>
    </row>
    <row r="11" customFormat="false" ht="15" hidden="false" customHeight="false" outlineLevel="0" collapsed="false">
      <c r="A11" s="21" t="s">
        <v>44</v>
      </c>
      <c r="B11" s="27"/>
      <c r="C11" s="21" t="n">
        <f aca="false">SUM(C4:C10)</f>
        <v>15</v>
      </c>
      <c r="D11" s="21" t="n">
        <f aca="false">SUM(D4:D10)</f>
        <v>60</v>
      </c>
      <c r="E11" s="35" t="n">
        <f aca="false">D11/(COUNTA(A4:A10)*$J$1)</f>
        <v>0.857142857142857</v>
      </c>
      <c r="F11" s="21" t="n">
        <f aca="false">SUM(F4:F10)</f>
        <v>247</v>
      </c>
      <c r="G11" s="21" t="n">
        <f aca="false">MAX(G4:G10)</f>
        <v>84</v>
      </c>
    </row>
    <row r="13" customFormat="false" ht="30" hidden="false" customHeight="true" outlineLevel="0" collapsed="false">
      <c r="A13" s="36" t="s">
        <v>110</v>
      </c>
      <c r="B13" s="36"/>
      <c r="C13" s="36"/>
      <c r="D13" s="36"/>
      <c r="E13" s="36"/>
      <c r="F13" s="36"/>
      <c r="G13" s="36"/>
    </row>
  </sheetData>
  <mergeCells count="3">
    <mergeCell ref="A1:G1"/>
    <mergeCell ref="A2:G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62"/>
  </cols>
  <sheetData>
    <row r="1" customFormat="false" ht="30" hidden="false" customHeight="true" outlineLevel="0" collapsed="false">
      <c r="A1" s="1" t="s">
        <v>111</v>
      </c>
      <c r="B1" s="1"/>
      <c r="C1" s="1"/>
    </row>
    <row r="2" customFormat="false" ht="18" hidden="false" customHeight="true" outlineLevel="0" collapsed="false">
      <c r="A2" s="2" t="s">
        <v>112</v>
      </c>
      <c r="B2" s="2"/>
      <c r="C2" s="2"/>
    </row>
    <row r="3" customFormat="false" ht="25.5" hidden="false" customHeight="true" outlineLevel="0" collapsed="false">
      <c r="A3" s="17" t="s">
        <v>113</v>
      </c>
      <c r="B3" s="17" t="s">
        <v>114</v>
      </c>
      <c r="C3" s="17" t="s">
        <v>50</v>
      </c>
    </row>
    <row r="4" customFormat="false" ht="15.75" hidden="false" customHeight="true" outlineLevel="0" collapsed="false">
      <c r="A4" s="37" t="str">
        <f aca="false">IF('5 เส้นทาง'!C11=ภาพรวม!B6,"ผ่าน","ไม่ผ่าน")</f>
        <v>ผ่าน</v>
      </c>
      <c r="B4" s="38" t="s">
        <v>51</v>
      </c>
      <c r="C4" s="39" t="str">
        <f aca="false">"แวะรวม "&amp;'5 เส้นทาง'!C11&amp;" จุด จาก "&amp;ภาพรวม!B6&amp;" ไซต์"</f>
        <v>แวะรวม 15 จุด จาก 15 ไซต์</v>
      </c>
    </row>
    <row r="5" customFormat="false" ht="15.75" hidden="false" customHeight="true" outlineLevel="0" collapsed="false">
      <c r="A5" s="37" t="s">
        <v>115</v>
      </c>
      <c r="B5" s="38" t="s">
        <v>116</v>
      </c>
      <c r="C5" s="39" t="s">
        <v>117</v>
      </c>
    </row>
    <row r="6" customFormat="false" ht="15.75" hidden="false" customHeight="true" outlineLevel="0" collapsed="false">
      <c r="A6" s="37" t="str">
        <f aca="false">IF(COUNTIF('5 เส้นทาง'!D4:D10,"&gt;"&amp;ภาพรวม!B7)=0,"ผ่าน","ไม่ผ่าน")</f>
        <v>ผ่าน</v>
      </c>
      <c r="B6" s="38" t="s">
        <v>55</v>
      </c>
      <c r="C6" s="39" t="str">
        <f aca="false">"บรรทุกสูงสุด "&amp;MAX('5 เส้นทาง'!D4:D10)&amp;" ลบ.ม. (ความจุ "&amp;ภาพรวม!B7&amp;")"</f>
        <v>บรรทุกสูงสุด 10 ลบ.ม. (ความจุ 10)</v>
      </c>
    </row>
    <row r="7" customFormat="false" ht="15.75" hidden="false" customHeight="true" outlineLevel="0" collapsed="false">
      <c r="A7" s="37" t="str">
        <f aca="false">IF(COUNTA('5 เส้นทาง'!A4:A10)&lt;=ภาพรวม!B8,"ผ่าน","ไม่ผ่าน")</f>
        <v>ผ่าน</v>
      </c>
      <c r="B7" s="38" t="s">
        <v>57</v>
      </c>
      <c r="C7" s="39" t="str">
        <f aca="false">"ใช้รถ "&amp;COUNTA('5 เส้นทาง'!A4:A10)&amp;" คัน (ไม่เกิน "&amp;ภาพรวม!B8&amp;" คัน)"</f>
        <v>ใช้รถ 7 คัน (ไม่เกิน 8 คัน)</v>
      </c>
    </row>
    <row r="8" customFormat="false" ht="15.75" hidden="false" customHeight="true" outlineLevel="0" collapsed="false">
      <c r="A8" s="37" t="s">
        <v>115</v>
      </c>
      <c r="B8" s="38" t="s">
        <v>53</v>
      </c>
      <c r="C8" s="39" t="s">
        <v>118</v>
      </c>
    </row>
    <row r="9" customFormat="false" ht="15.75" hidden="false" customHeight="true" outlineLevel="0" collapsed="false">
      <c r="A9" s="37" t="str">
        <f aca="false">IF('5 เส้นทาง'!G4&lt;=ภาพรวม!$B$11,"ผ่าน","ไม่ผ่าน")</f>
        <v>ผ่าน</v>
      </c>
      <c r="B9" s="38" t="s">
        <v>119</v>
      </c>
      <c r="C9" s="39" t="str">
        <f aca="false">"เส้นทางที่ 1 ถึงช้าสุด "&amp;'5 เส้นทาง'!G4&amp;" นาที (ขีดจำกัด "&amp;ภาพรวม!$B$11&amp;" นาที)"</f>
        <v>เส้นทางที่ 1 ถึงช้าสุด 10 นาที (ขีดจำกัด 90 นาที)</v>
      </c>
    </row>
    <row r="10" customFormat="false" ht="15.75" hidden="false" customHeight="true" outlineLevel="0" collapsed="false">
      <c r="A10" s="37" t="str">
        <f aca="false">IF('5 เส้นทาง'!G5&lt;=ภาพรวม!$B$11,"ผ่าน","ไม่ผ่าน")</f>
        <v>ผ่าน</v>
      </c>
      <c r="B10" s="38" t="s">
        <v>119</v>
      </c>
      <c r="C10" s="39" t="str">
        <f aca="false">"เส้นทางที่ 2 ถึงช้าสุด "&amp;'5 เส้นทาง'!G5&amp;" นาที (ขีดจำกัด "&amp;ภาพรวม!$B$11&amp;" นาที)"</f>
        <v>เส้นทางที่ 2 ถึงช้าสุด 84 นาที (ขีดจำกัด 90 นาที)</v>
      </c>
    </row>
    <row r="11" customFormat="false" ht="15.75" hidden="false" customHeight="true" outlineLevel="0" collapsed="false">
      <c r="A11" s="37" t="str">
        <f aca="false">IF('5 เส้นทาง'!G6&lt;=ภาพรวม!$B$11,"ผ่าน","ไม่ผ่าน")</f>
        <v>ผ่าน</v>
      </c>
      <c r="B11" s="38" t="s">
        <v>119</v>
      </c>
      <c r="C11" s="39" t="str">
        <f aca="false">"เส้นทางที่ 3 ถึงช้าสุด "&amp;'5 เส้นทาง'!G6&amp;" นาที (ขีดจำกัด "&amp;ภาพรวม!$B$11&amp;" นาที)"</f>
        <v>เส้นทางที่ 3 ถึงช้าสุด 60 นาที (ขีดจำกัด 90 นาที)</v>
      </c>
    </row>
    <row r="12" customFormat="false" ht="15.75" hidden="false" customHeight="true" outlineLevel="0" collapsed="false">
      <c r="A12" s="37" t="str">
        <f aca="false">IF('5 เส้นทาง'!G7&lt;=ภาพรวม!$B$11,"ผ่าน","ไม่ผ่าน")</f>
        <v>ผ่าน</v>
      </c>
      <c r="B12" s="38" t="s">
        <v>119</v>
      </c>
      <c r="C12" s="39" t="str">
        <f aca="false">"เส้นทางที่ 4 ถึงช้าสุด "&amp;'5 เส้นทาง'!G7&amp;" นาที (ขีดจำกัด "&amp;ภาพรวม!$B$11&amp;" นาที)"</f>
        <v>เส้นทางที่ 4 ถึงช้าสุด 46 นาที (ขีดจำกัด 90 นาที)</v>
      </c>
    </row>
    <row r="13" customFormat="false" ht="15.75" hidden="false" customHeight="true" outlineLevel="0" collapsed="false">
      <c r="A13" s="37" t="str">
        <f aca="false">IF('5 เส้นทาง'!G8&lt;=ภาพรวม!$B$11,"ผ่าน","ไม่ผ่าน")</f>
        <v>ผ่าน</v>
      </c>
      <c r="B13" s="38" t="s">
        <v>119</v>
      </c>
      <c r="C13" s="39" t="str">
        <f aca="false">"เส้นทางที่ 5 ถึงช้าสุด "&amp;'5 เส้นทาง'!G8&amp;" นาที (ขีดจำกัด "&amp;ภาพรวม!$B$11&amp;" นาที)"</f>
        <v>เส้นทางที่ 5 ถึงช้าสุด 72 นาที (ขีดจำกัด 90 นาที)</v>
      </c>
    </row>
    <row r="14" customFormat="false" ht="15.75" hidden="false" customHeight="true" outlineLevel="0" collapsed="false">
      <c r="A14" s="37" t="str">
        <f aca="false">IF('5 เส้นทาง'!G9&lt;=ภาพรวม!$B$11,"ผ่าน","ไม่ผ่าน")</f>
        <v>ผ่าน</v>
      </c>
      <c r="B14" s="38" t="s">
        <v>119</v>
      </c>
      <c r="C14" s="39" t="str">
        <f aca="false">"เส้นทางที่ 6 ถึงช้าสุด "&amp;'5 เส้นทาง'!G9&amp;" นาที (ขีดจำกัด "&amp;ภาพรวม!$B$11&amp;" นาที)"</f>
        <v>เส้นทางที่ 6 ถึงช้าสุด 50 นาที (ขีดจำกัด 90 นาที)</v>
      </c>
    </row>
    <row r="15" customFormat="false" ht="15.75" hidden="false" customHeight="true" outlineLevel="0" collapsed="false">
      <c r="A15" s="37" t="str">
        <f aca="false">IF('5 เส้นทาง'!G10&lt;=ภาพรวม!$B$11,"ผ่าน","ไม่ผ่าน")</f>
        <v>ผ่าน</v>
      </c>
      <c r="B15" s="38" t="s">
        <v>119</v>
      </c>
      <c r="C15" s="39" t="str">
        <f aca="false">"เส้นทางที่ 7 ถึงช้าสุด "&amp;'5 เส้นทาง'!G10&amp;" นาที (ขีดจำกัด "&amp;ภาพรวม!$B$11&amp;" นาที)"</f>
        <v>เส้นทางที่ 7 ถึงช้าสุด 62 นาที (ขีดจำกัด 90 นาที)</v>
      </c>
    </row>
    <row r="17" customFormat="false" ht="15" hidden="false" customHeight="false" outlineLevel="0" collapsed="false">
      <c r="A17" s="4" t="s">
        <v>120</v>
      </c>
      <c r="B17" s="40" t="str">
        <f aca="false">IF(COUNTIF(A4:A15,"ไม่ผ่าน")=0,"ผ่านครบ 6 กติกา","ไม่ผ่าน")</f>
        <v>ผ่านครบ 6 กติกา</v>
      </c>
    </row>
  </sheetData>
  <mergeCells count="2">
    <mergeCell ref="A1:C1"/>
    <mergeCell ref="A2:C2"/>
  </mergeCells>
  <conditionalFormatting sqref="A4:A15">
    <cfRule type="expression" priority="2" aboveAverage="0" equalAverage="0" bottom="0" percent="0" rank="0" text="" dxfId="0">
      <formula>A4="ไม่ผ่าน"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36"/>
    <col collapsed="false" customWidth="true" hidden="false" outlineLevel="0" max="6" min="5" style="0" width="16"/>
  </cols>
  <sheetData>
    <row r="1" customFormat="false" ht="30" hidden="false" customHeight="true" outlineLevel="0" collapsed="false">
      <c r="A1" s="1" t="s">
        <v>121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122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123</v>
      </c>
      <c r="B3" s="3"/>
      <c r="C3" s="3"/>
      <c r="D3" s="3"/>
      <c r="E3" s="3"/>
      <c r="F3" s="3"/>
    </row>
    <row r="4" customFormat="false" ht="25.5" hidden="false" customHeight="true" outlineLevel="0" collapsed="false">
      <c r="A4" s="17" t="s">
        <v>124</v>
      </c>
      <c r="B4" s="17" t="s">
        <v>94</v>
      </c>
      <c r="C4" s="17" t="s">
        <v>125</v>
      </c>
      <c r="D4" s="17" t="s">
        <v>126</v>
      </c>
      <c r="E4" s="17" t="s">
        <v>127</v>
      </c>
      <c r="F4" s="17" t="s">
        <v>128</v>
      </c>
    </row>
    <row r="5" customFormat="false" ht="30" hidden="false" customHeight="true" outlineLevel="0" collapsed="false">
      <c r="A5" s="19" t="s">
        <v>129</v>
      </c>
      <c r="B5" s="20" t="n">
        <v>241</v>
      </c>
      <c r="C5" s="20" t="n">
        <v>7</v>
      </c>
      <c r="D5" s="41" t="s">
        <v>130</v>
      </c>
      <c r="E5" s="42" t="n">
        <f aca="false">(B5-$B$8)/$B$8</f>
        <v>-0.0242914979757085</v>
      </c>
      <c r="F5" s="43" t="n">
        <f aca="false">B5*'9 Green'!$B$4*'9 Green'!$B$5</f>
        <v>226.058</v>
      </c>
    </row>
    <row r="6" customFormat="false" ht="30" hidden="false" customHeight="true" outlineLevel="0" collapsed="false">
      <c r="A6" s="22" t="s">
        <v>131</v>
      </c>
      <c r="B6" s="23" t="n">
        <v>270</v>
      </c>
      <c r="C6" s="23" t="n">
        <v>8</v>
      </c>
      <c r="D6" s="44" t="s">
        <v>132</v>
      </c>
      <c r="E6" s="45" t="n">
        <f aca="false">(B6-$B$8)/$B$8</f>
        <v>0.0931174089068826</v>
      </c>
      <c r="F6" s="46" t="n">
        <f aca="false">B6*'9 Green'!$B$4*'9 Green'!$B$5</f>
        <v>253.26</v>
      </c>
    </row>
    <row r="7" customFormat="false" ht="30" hidden="false" customHeight="true" outlineLevel="0" collapsed="false">
      <c r="A7" s="29" t="s">
        <v>133</v>
      </c>
      <c r="B7" s="47" t="n">
        <f aca="false">'5 เส้นทาง'!F11</f>
        <v>247</v>
      </c>
      <c r="C7" s="47" t="n">
        <f aca="false">COUNTA('5 เส้นทาง'!A4:A10)</f>
        <v>7</v>
      </c>
      <c r="D7" s="48" t="s">
        <v>134</v>
      </c>
      <c r="E7" s="49" t="n">
        <f aca="false">(B7-$B$8)/$B$8</f>
        <v>0</v>
      </c>
      <c r="F7" s="50" t="n">
        <f aca="false">B7*'9 Green'!$B$4*'9 Green'!$B$5</f>
        <v>231.686</v>
      </c>
    </row>
    <row r="8" customFormat="false" ht="30" hidden="false" customHeight="true" outlineLevel="0" collapsed="false">
      <c r="A8" s="22" t="s">
        <v>135</v>
      </c>
      <c r="B8" s="23" t="n">
        <v>247</v>
      </c>
      <c r="C8" s="23" t="n">
        <v>7</v>
      </c>
      <c r="D8" s="51" t="s">
        <v>136</v>
      </c>
      <c r="E8" s="45" t="n">
        <f aca="false">(B8-$B$8)/$B$8</f>
        <v>0</v>
      </c>
      <c r="F8" s="46" t="n">
        <f aca="false">B8*'9 Green'!$B$4*'9 Green'!$B$5</f>
        <v>231.686</v>
      </c>
    </row>
    <row r="9" customFormat="false" ht="30" hidden="false" customHeight="true" outlineLevel="0" collapsed="false">
      <c r="A9" s="19" t="s">
        <v>137</v>
      </c>
      <c r="B9" s="20" t="n">
        <v>296</v>
      </c>
      <c r="C9" s="20" t="n">
        <v>8</v>
      </c>
      <c r="D9" s="52" t="s">
        <v>136</v>
      </c>
      <c r="E9" s="42" t="n">
        <f aca="false">(B9-$B$8)/$B$8</f>
        <v>0.198380566801619</v>
      </c>
      <c r="F9" s="43" t="n">
        <f aca="false">B9*'9 Green'!$B$4*'9 Green'!$B$5</f>
        <v>277.648</v>
      </c>
    </row>
    <row r="11" customFormat="false" ht="19.5" hidden="false" customHeight="true" outlineLevel="0" collapsed="false">
      <c r="A11" s="3" t="s">
        <v>138</v>
      </c>
      <c r="B11" s="3"/>
      <c r="C11" s="3"/>
      <c r="D11" s="3"/>
      <c r="E11" s="3"/>
      <c r="F11" s="3"/>
    </row>
    <row r="12" customFormat="false" ht="25.5" hidden="false" customHeight="true" outlineLevel="0" collapsed="false">
      <c r="A12" s="17" t="s">
        <v>139</v>
      </c>
      <c r="B12" s="17" t="s">
        <v>140</v>
      </c>
      <c r="C12" s="17"/>
      <c r="D12" s="17" t="s">
        <v>141</v>
      </c>
      <c r="E12" s="17"/>
      <c r="F12" s="17"/>
    </row>
    <row r="13" customFormat="false" ht="18" hidden="false" customHeight="true" outlineLevel="0" collapsed="false">
      <c r="A13" s="19" t="s">
        <v>16</v>
      </c>
      <c r="B13" s="53" t="n">
        <f aca="false">E7</f>
        <v>0</v>
      </c>
      <c r="C13" s="53"/>
      <c r="D13" s="54" t="s">
        <v>142</v>
      </c>
      <c r="E13" s="54"/>
      <c r="F13" s="54"/>
    </row>
    <row r="14" customFormat="false" ht="18" hidden="false" customHeight="true" outlineLevel="0" collapsed="false">
      <c r="A14" s="22" t="s">
        <v>18</v>
      </c>
      <c r="B14" s="55" t="n">
        <f aca="false">(B9-B7)/B9</f>
        <v>0.165540540540541</v>
      </c>
      <c r="C14" s="55"/>
      <c r="D14" s="56" t="s">
        <v>143</v>
      </c>
      <c r="E14" s="56"/>
      <c r="F14" s="56"/>
    </row>
    <row r="15" customFormat="false" ht="18" hidden="false" customHeight="true" outlineLevel="0" collapsed="false">
      <c r="A15" s="19" t="s">
        <v>144</v>
      </c>
      <c r="B15" s="57" t="n">
        <f aca="false">B7-B5</f>
        <v>6</v>
      </c>
      <c r="C15" s="57"/>
      <c r="D15" s="54" t="s">
        <v>145</v>
      </c>
      <c r="E15" s="54"/>
      <c r="F15" s="54"/>
    </row>
    <row r="16" customFormat="false" ht="18" hidden="false" customHeight="true" outlineLevel="0" collapsed="false">
      <c r="A16" s="22" t="s">
        <v>146</v>
      </c>
      <c r="B16" s="58" t="n">
        <f aca="false">C7-C5</f>
        <v>0</v>
      </c>
      <c r="C16" s="58"/>
      <c r="D16" s="56" t="s">
        <v>147</v>
      </c>
      <c r="E16" s="56"/>
      <c r="F16" s="56"/>
    </row>
    <row r="17" customFormat="false" ht="18" hidden="false" customHeight="true" outlineLevel="0" collapsed="false">
      <c r="A17" s="19" t="s">
        <v>148</v>
      </c>
      <c r="B17" s="59" t="n">
        <f aca="false">B6-B7</f>
        <v>23</v>
      </c>
      <c r="C17" s="59"/>
      <c r="D17" s="54" t="s">
        <v>149</v>
      </c>
      <c r="E17" s="54"/>
      <c r="F17" s="54"/>
    </row>
    <row r="19" customFormat="false" ht="21.75" hidden="false" customHeight="true" outlineLevel="0" collapsed="false">
      <c r="A19" s="10" t="s">
        <v>150</v>
      </c>
      <c r="B19" s="10"/>
      <c r="C19" s="10"/>
      <c r="D19" s="10"/>
      <c r="E19" s="10"/>
      <c r="F19" s="10"/>
    </row>
    <row r="20" customFormat="false" ht="21.75" hidden="false" customHeight="true" outlineLevel="0" collapsed="false">
      <c r="A20" s="10"/>
      <c r="B20" s="10"/>
      <c r="C20" s="10"/>
      <c r="D20" s="10"/>
      <c r="E20" s="10"/>
      <c r="F20" s="10"/>
    </row>
  </sheetData>
  <mergeCells count="17">
    <mergeCell ref="A1:F1"/>
    <mergeCell ref="A2:F2"/>
    <mergeCell ref="A3:F3"/>
    <mergeCell ref="A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A19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2"/>
  </cols>
  <sheetData>
    <row r="1" customFormat="false" ht="30" hidden="false" customHeight="true" outlineLevel="0" collapsed="false">
      <c r="A1" s="1" t="s">
        <v>151</v>
      </c>
      <c r="B1" s="1"/>
    </row>
    <row r="2" customFormat="false" ht="18" hidden="false" customHeight="true" outlineLevel="0" collapsed="false">
      <c r="A2" s="2" t="s">
        <v>152</v>
      </c>
      <c r="B2" s="2"/>
    </row>
    <row r="3" customFormat="false" ht="19.5" hidden="false" customHeight="true" outlineLevel="0" collapsed="false">
      <c r="A3" s="3" t="s">
        <v>153</v>
      </c>
      <c r="B3" s="3"/>
    </row>
    <row r="4" customFormat="false" ht="33.75" hidden="false" customHeight="true" outlineLevel="0" collapsed="false">
      <c r="A4" s="10" t="s">
        <v>154</v>
      </c>
      <c r="B4" s="10"/>
    </row>
    <row r="5" customFormat="false" ht="33.75" hidden="false" customHeight="true" outlineLevel="0" collapsed="false">
      <c r="A5" s="10"/>
      <c r="B5" s="10"/>
    </row>
    <row r="6" customFormat="false" ht="33.75" hidden="false" customHeight="true" outlineLevel="0" collapsed="false">
      <c r="A6" s="10"/>
      <c r="B6" s="10"/>
    </row>
    <row r="8" customFormat="false" ht="25.5" hidden="false" customHeight="true" outlineLevel="0" collapsed="false">
      <c r="A8" s="17" t="s">
        <v>49</v>
      </c>
      <c r="B8" s="17" t="s">
        <v>155</v>
      </c>
    </row>
    <row r="9" customFormat="false" ht="33" hidden="false" customHeight="true" outlineLevel="0" collapsed="false">
      <c r="A9" s="26" t="s">
        <v>156</v>
      </c>
      <c r="B9" s="26" t="s">
        <v>157</v>
      </c>
    </row>
    <row r="10" customFormat="false" ht="33" hidden="false" customHeight="true" outlineLevel="0" collapsed="false">
      <c r="A10" s="27" t="s">
        <v>158</v>
      </c>
      <c r="B10" s="27" t="s">
        <v>159</v>
      </c>
    </row>
    <row r="11" customFormat="false" ht="33" hidden="false" customHeight="true" outlineLevel="0" collapsed="false">
      <c r="A11" s="26" t="s">
        <v>160</v>
      </c>
      <c r="B11" s="26" t="s">
        <v>161</v>
      </c>
    </row>
    <row r="12" customFormat="false" ht="33" hidden="false" customHeight="true" outlineLevel="0" collapsed="false">
      <c r="A12" s="27" t="s">
        <v>162</v>
      </c>
      <c r="B12" s="27" t="s">
        <v>163</v>
      </c>
    </row>
    <row r="13" customFormat="false" ht="33" hidden="false" customHeight="true" outlineLevel="0" collapsed="false">
      <c r="A13" s="26" t="s">
        <v>164</v>
      </c>
      <c r="B13" s="26" t="s">
        <v>165</v>
      </c>
    </row>
    <row r="14" customFormat="false" ht="33" hidden="false" customHeight="true" outlineLevel="0" collapsed="false">
      <c r="A14" s="27" t="s">
        <v>166</v>
      </c>
      <c r="B14" s="27" t="s">
        <v>167</v>
      </c>
    </row>
  </sheetData>
  <mergeCells count="4">
    <mergeCell ref="A1:B1"/>
    <mergeCell ref="A2:B2"/>
    <mergeCell ref="A3:B3"/>
    <mergeCell ref="A4:B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168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169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170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60" t="s">
        <v>171</v>
      </c>
      <c r="B4" s="61" t="n">
        <v>0.35</v>
      </c>
      <c r="C4" s="62" t="s">
        <v>172</v>
      </c>
      <c r="D4" s="62"/>
      <c r="E4" s="62"/>
      <c r="F4" s="62"/>
    </row>
    <row r="5" customFormat="false" ht="15" hidden="false" customHeight="true" outlineLevel="0" collapsed="false">
      <c r="A5" s="60" t="s">
        <v>173</v>
      </c>
      <c r="B5" s="61" t="n">
        <v>2.68</v>
      </c>
      <c r="C5" s="62" t="s">
        <v>174</v>
      </c>
      <c r="D5" s="62"/>
      <c r="E5" s="62"/>
      <c r="F5" s="62"/>
    </row>
    <row r="6" customFormat="false" ht="15" hidden="false" customHeight="true" outlineLevel="0" collapsed="false">
      <c r="A6" s="60" t="s">
        <v>175</v>
      </c>
      <c r="B6" s="61" t="n">
        <v>300</v>
      </c>
      <c r="C6" s="62" t="s">
        <v>176</v>
      </c>
      <c r="D6" s="62"/>
      <c r="E6" s="62"/>
      <c r="F6" s="62"/>
    </row>
    <row r="8" customFormat="false" ht="19.5" hidden="false" customHeight="true" outlineLevel="0" collapsed="false">
      <c r="A8" s="3" t="s">
        <v>177</v>
      </c>
      <c r="B8" s="3"/>
      <c r="C8" s="3"/>
      <c r="D8" s="3"/>
      <c r="E8" s="3"/>
      <c r="F8" s="3"/>
    </row>
    <row r="9" customFormat="false" ht="25.5" hidden="false" customHeight="true" outlineLevel="0" collapsed="false">
      <c r="A9" s="17" t="s">
        <v>124</v>
      </c>
      <c r="B9" s="17" t="s">
        <v>94</v>
      </c>
      <c r="C9" s="17" t="s">
        <v>178</v>
      </c>
      <c r="D9" s="17" t="s">
        <v>128</v>
      </c>
      <c r="E9" s="17" t="s">
        <v>179</v>
      </c>
    </row>
    <row r="10" customFormat="false" ht="15" hidden="false" customHeight="false" outlineLevel="0" collapsed="false">
      <c r="A10" s="19" t="s">
        <v>180</v>
      </c>
      <c r="B10" s="20" t="n">
        <f aca="false">'7 เปรียบเทียบ'!B9</f>
        <v>296</v>
      </c>
      <c r="C10" s="43" t="n">
        <f aca="false">B10*$B$4</f>
        <v>103.6</v>
      </c>
      <c r="D10" s="43" t="n">
        <f aca="false">C10*$B$5</f>
        <v>277.648</v>
      </c>
      <c r="E10" s="43" t="n">
        <f aca="false">D10*$B$6/1000</f>
        <v>83.2944</v>
      </c>
    </row>
    <row r="11" customFormat="false" ht="15" hidden="false" customHeight="false" outlineLevel="0" collapsed="false">
      <c r="A11" s="22" t="s">
        <v>181</v>
      </c>
      <c r="B11" s="23" t="n">
        <f aca="false">'7 เปรียบเทียบ'!B6</f>
        <v>270</v>
      </c>
      <c r="C11" s="46" t="n">
        <f aca="false">B11*$B$4</f>
        <v>94.5</v>
      </c>
      <c r="D11" s="46" t="n">
        <f aca="false">C11*$B$5</f>
        <v>253.26</v>
      </c>
      <c r="E11" s="46" t="n">
        <f aca="false">D11*$B$6/1000</f>
        <v>75.978</v>
      </c>
    </row>
    <row r="12" customFormat="false" ht="15" hidden="false" customHeight="false" outlineLevel="0" collapsed="false">
      <c r="A12" s="29" t="s">
        <v>182</v>
      </c>
      <c r="B12" s="47" t="n">
        <f aca="false">'7 เปรียบเทียบ'!B7</f>
        <v>247</v>
      </c>
      <c r="C12" s="50" t="n">
        <f aca="false">B12*$B$4</f>
        <v>86.45</v>
      </c>
      <c r="D12" s="50" t="n">
        <f aca="false">C12*$B$5</f>
        <v>231.686</v>
      </c>
      <c r="E12" s="50" t="n">
        <f aca="false">D12*$B$6/1000</f>
        <v>69.5058</v>
      </c>
    </row>
    <row r="13" customFormat="false" ht="15" hidden="false" customHeight="false" outlineLevel="0" collapsed="false">
      <c r="A13" s="63" t="s">
        <v>183</v>
      </c>
      <c r="B13" s="64" t="n">
        <f aca="false">B10-B12</f>
        <v>49</v>
      </c>
      <c r="C13" s="65" t="n">
        <f aca="false">C10-C12</f>
        <v>17.15</v>
      </c>
      <c r="D13" s="65" t="n">
        <f aca="false">D10-D12</f>
        <v>45.962</v>
      </c>
      <c r="E13" s="65" t="n">
        <f aca="false">E10-E12</f>
        <v>13.7886</v>
      </c>
    </row>
    <row r="14" customFormat="false" ht="15" hidden="false" customHeight="false" outlineLevel="0" collapsed="false">
      <c r="A14" s="63" t="s">
        <v>184</v>
      </c>
      <c r="B14" s="64" t="n">
        <f aca="false">B11-B12</f>
        <v>23</v>
      </c>
      <c r="C14" s="65" t="n">
        <f aca="false">C11-C12</f>
        <v>8.05000000000001</v>
      </c>
      <c r="D14" s="65" t="n">
        <f aca="false">D11-D12</f>
        <v>21.574</v>
      </c>
      <c r="E14" s="65" t="n">
        <f aca="false">E11-E12</f>
        <v>6.4722</v>
      </c>
    </row>
    <row r="15" customFormat="false" ht="21.75" hidden="false" customHeight="true" outlineLevel="0" collapsed="false">
      <c r="A15" s="36" t="s">
        <v>185</v>
      </c>
      <c r="B15" s="36"/>
      <c r="C15" s="36"/>
      <c r="D15" s="36"/>
      <c r="E15" s="36"/>
      <c r="F15" s="36"/>
    </row>
    <row r="16" customFormat="false" ht="21.75" hidden="false" customHeight="true" outlineLevel="0" collapsed="false">
      <c r="A16" s="36"/>
      <c r="B16" s="36"/>
      <c r="C16" s="36"/>
      <c r="D16" s="36"/>
      <c r="E16" s="36"/>
      <c r="F16" s="36"/>
    </row>
    <row r="18" customFormat="false" ht="19.5" hidden="false" customHeight="true" outlineLevel="0" collapsed="false">
      <c r="A18" s="3" t="s">
        <v>186</v>
      </c>
      <c r="B18" s="3"/>
      <c r="C18" s="3"/>
      <c r="D18" s="3"/>
      <c r="E18" s="3"/>
      <c r="F18" s="3"/>
    </row>
    <row r="19" customFormat="false" ht="25.5" hidden="false" customHeight="true" outlineLevel="0" collapsed="false">
      <c r="A19" s="17" t="s">
        <v>187</v>
      </c>
      <c r="B19" s="17" t="s">
        <v>188</v>
      </c>
      <c r="C19" s="17" t="s">
        <v>189</v>
      </c>
      <c r="D19" s="17" t="s">
        <v>190</v>
      </c>
      <c r="E19" s="17" t="s">
        <v>191</v>
      </c>
      <c r="F19" s="17" t="s">
        <v>192</v>
      </c>
    </row>
    <row r="20" customFormat="false" ht="15" hidden="false" customHeight="false" outlineLevel="0" collapsed="false">
      <c r="A20" s="18" t="n">
        <v>90</v>
      </c>
      <c r="B20" s="20" t="n">
        <v>247</v>
      </c>
      <c r="C20" s="20" t="n">
        <v>7</v>
      </c>
      <c r="D20" s="20" t="n">
        <v>247</v>
      </c>
      <c r="E20" s="20" t="n">
        <v>7</v>
      </c>
      <c r="F20" s="66" t="n">
        <f aca="false">(B20-D20)/D20</f>
        <v>0</v>
      </c>
    </row>
    <row r="21" customFormat="false" ht="15" hidden="false" customHeight="false" outlineLevel="0" collapsed="false">
      <c r="A21" s="21" t="n">
        <v>80</v>
      </c>
      <c r="B21" s="23" t="n">
        <v>248</v>
      </c>
      <c r="C21" s="23" t="n">
        <v>7</v>
      </c>
      <c r="D21" s="23" t="n">
        <v>248</v>
      </c>
      <c r="E21" s="23" t="n">
        <v>7</v>
      </c>
      <c r="F21" s="67" t="n">
        <f aca="false">(B21-D21)/D21</f>
        <v>0</v>
      </c>
    </row>
    <row r="22" customFormat="false" ht="15" hidden="false" customHeight="false" outlineLevel="0" collapsed="false">
      <c r="A22" s="18" t="n">
        <v>70</v>
      </c>
      <c r="B22" s="20" t="n">
        <v>258</v>
      </c>
      <c r="C22" s="20" t="n">
        <v>7</v>
      </c>
      <c r="D22" s="20" t="n">
        <v>248</v>
      </c>
      <c r="E22" s="20" t="n">
        <v>7</v>
      </c>
      <c r="F22" s="66" t="n">
        <f aca="false">(B22-D22)/D22</f>
        <v>0.0403225806451613</v>
      </c>
    </row>
    <row r="23" customFormat="false" ht="15" hidden="false" customHeight="false" outlineLevel="0" collapsed="false">
      <c r="A23" s="21" t="n">
        <v>60</v>
      </c>
      <c r="B23" s="23" t="n">
        <v>289</v>
      </c>
      <c r="C23" s="23" t="n">
        <v>8</v>
      </c>
      <c r="D23" s="23" t="n">
        <v>277</v>
      </c>
      <c r="E23" s="23" t="n">
        <v>8</v>
      </c>
      <c r="F23" s="67" t="n">
        <f aca="false">(B23-D23)/D23</f>
        <v>0.0433212996389892</v>
      </c>
    </row>
    <row r="24" customFormat="false" ht="21.75" hidden="false" customHeight="true" outlineLevel="0" collapsed="false">
      <c r="A24" s="36" t="s">
        <v>193</v>
      </c>
      <c r="B24" s="36"/>
      <c r="C24" s="36"/>
      <c r="D24" s="36"/>
      <c r="E24" s="36"/>
      <c r="F24" s="36"/>
    </row>
    <row r="25" customFormat="false" ht="21.75" hidden="false" customHeight="true" outlineLevel="0" collapsed="false">
      <c r="A25" s="36"/>
      <c r="B25" s="36"/>
      <c r="C25" s="36"/>
      <c r="D25" s="36"/>
      <c r="E25" s="36"/>
      <c r="F25" s="36"/>
    </row>
  </sheetData>
  <mergeCells count="10">
    <mergeCell ref="A1:F1"/>
    <mergeCell ref="A2:F2"/>
    <mergeCell ref="A3:F3"/>
    <mergeCell ref="C4:F4"/>
    <mergeCell ref="C5:F5"/>
    <mergeCell ref="C6:F6"/>
    <mergeCell ref="A8:F8"/>
    <mergeCell ref="A15:F16"/>
    <mergeCell ref="A18:F18"/>
    <mergeCell ref="A24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2026-09-20T13:54:35Z</dcterms:created>
  <dc:creator>openpyxl</dc:creator>
  <dc:description/>
  <dc:language>en-US</dc:language>
  <cp:lastModifiedBy/>
  <dcterms:modified xsi:type="dcterms:W3CDTF">2026-09-26T14:59:32Z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